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/>
  </bookViews>
  <sheets>
    <sheet name="Data" sheetId="1" r:id="rId1"/>
    <sheet name="Nuances" sheetId="8" r:id="rId10"/>
  </sheets>
  <calcPr calcId="171027"/>
</workbook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<sst xmlns="http://schemas.openxmlformats.org/spreadsheetml/2006/main">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</sst>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25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2" state="frozen"/>
      <selection activeCell="M9" activeCellId="0" sqref="M9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8" max="8" width="12" customWidth="1" bestFit="1"/>
    <col min="9" max="9" width="8.7265625" style="30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23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28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23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28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23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28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23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28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23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28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23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28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23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28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23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28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23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28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23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28" t="s">
        <v>33</v>
      </c>
      <c r="K82" s="28">
        <v>23244</v>
      </c>
    </row>
    <row r="83">
      <c r="A83" s="22">
        <v>2017</v>
      </c>
      <c r="B83" s="23" t="s">
        <v>10</v>
      </c>
      <c r="C83" s="23" t="s">
        <v>12</v>
      </c>
      <c r="D83" s="23" t="s">
        <v>11</v>
      </c>
      <c r="E83" s="23" t="s">
        <v>13</v>
      </c>
      <c r="F83" s="23">
        <v>47582183</v>
      </c>
      <c r="G83" s="23">
        <v>37003728</v>
      </c>
      <c r="H83" s="23">
        <v>949334</v>
      </c>
      <c r="I83" s="31">
        <f>G83-H83</f>
        <v>36054394</v>
      </c>
      <c r="J83" s="23" t="s">
        <v>30</v>
      </c>
      <c r="K83" s="23">
        <v>8656346</v>
      </c>
    </row>
    <row r="84">
      <c r="A84" s="25">
        <v>2017</v>
      </c>
      <c r="B84" t="s">
        <v>10</v>
      </c>
      <c r="C84" t="s">
        <v>12</v>
      </c>
      <c r="D84" t="s">
        <v>11</v>
      </c>
      <c r="E84" t="s">
        <v>13</v>
      </c>
      <c r="F84">
        <v>47582183</v>
      </c>
      <c r="G84">
        <v>37003728</v>
      </c>
      <c r="H84">
        <v>949334</v>
      </c>
      <c r="I84" s="30">
        <f>G84-H84</f>
        <v>36054394</v>
      </c>
      <c r="J84" t="s">
        <v>20</v>
      </c>
      <c r="K84">
        <v>7678491</v>
      </c>
    </row>
    <row r="85">
      <c r="A85" s="25">
        <v>2017</v>
      </c>
      <c r="B85" t="s">
        <v>10</v>
      </c>
      <c r="C85" t="s">
        <v>12</v>
      </c>
      <c r="D85" t="s">
        <v>11</v>
      </c>
      <c r="E85" t="s">
        <v>13</v>
      </c>
      <c r="F85">
        <v>47582183</v>
      </c>
      <c r="G85">
        <v>37003728</v>
      </c>
      <c r="H85">
        <v>949334</v>
      </c>
      <c r="I85" s="30">
        <f>G85-H85</f>
        <v>36054394</v>
      </c>
      <c r="J85" t="s">
        <v>31</v>
      </c>
      <c r="K85">
        <v>7212995</v>
      </c>
    </row>
    <row r="86">
      <c r="A86" s="25">
        <v>2017</v>
      </c>
      <c r="B86" t="s">
        <v>10</v>
      </c>
      <c r="C86" t="s">
        <v>12</v>
      </c>
      <c r="D86" t="s">
        <v>11</v>
      </c>
      <c r="E86" t="s">
        <v>13</v>
      </c>
      <c r="F86">
        <v>47582183</v>
      </c>
      <c r="G86">
        <v>37003728</v>
      </c>
      <c r="H86">
        <v>949334</v>
      </c>
      <c r="I86" s="30">
        <f>G86-H86</f>
        <v>36054394</v>
      </c>
      <c r="J86" t="s">
        <v>32</v>
      </c>
      <c r="K86">
        <v>7059951</v>
      </c>
    </row>
    <row r="87">
      <c r="A87" s="25">
        <v>2017</v>
      </c>
      <c r="B87" t="s">
        <v>10</v>
      </c>
      <c r="C87" t="s">
        <v>12</v>
      </c>
      <c r="D87" t="s">
        <v>11</v>
      </c>
      <c r="E87" t="s">
        <v>13</v>
      </c>
      <c r="F87">
        <v>47582183</v>
      </c>
      <c r="G87">
        <v>37003728</v>
      </c>
      <c r="H87">
        <v>949334</v>
      </c>
      <c r="I87" s="30">
        <f>G87-H87</f>
        <v>36054394</v>
      </c>
      <c r="J87" t="s">
        <v>33</v>
      </c>
      <c r="K87">
        <v>2291288</v>
      </c>
    </row>
    <row r="88">
      <c r="A88" s="25">
        <v>2017</v>
      </c>
      <c r="B88" t="s">
        <v>10</v>
      </c>
      <c r="C88" t="s">
        <v>12</v>
      </c>
      <c r="D88" t="s">
        <v>11</v>
      </c>
      <c r="E88" t="s">
        <v>13</v>
      </c>
      <c r="F88">
        <v>47582183</v>
      </c>
      <c r="G88">
        <v>37003728</v>
      </c>
      <c r="H88">
        <v>949334</v>
      </c>
      <c r="I88" s="30">
        <f>G88-H88</f>
        <v>36054394</v>
      </c>
      <c r="J88" t="s">
        <v>34</v>
      </c>
      <c r="K88">
        <v>1695000</v>
      </c>
    </row>
    <row r="89">
      <c r="A89" s="25">
        <v>2017</v>
      </c>
      <c r="B89" t="s">
        <v>10</v>
      </c>
      <c r="C89" t="s">
        <v>12</v>
      </c>
      <c r="D89" t="s">
        <v>11</v>
      </c>
      <c r="E89" t="s">
        <v>13</v>
      </c>
      <c r="F89">
        <v>47582183</v>
      </c>
      <c r="G89">
        <v>37003728</v>
      </c>
      <c r="H89">
        <v>949334</v>
      </c>
      <c r="I89" s="30">
        <f>G89-H89</f>
        <v>36054394</v>
      </c>
      <c r="J89" t="s">
        <v>35</v>
      </c>
      <c r="K89">
        <v>435301</v>
      </c>
    </row>
    <row r="90">
      <c r="A90" s="25">
        <v>2017</v>
      </c>
      <c r="B90" t="s">
        <v>10</v>
      </c>
      <c r="C90" t="s">
        <v>12</v>
      </c>
      <c r="D90" t="s">
        <v>11</v>
      </c>
      <c r="E90" t="s">
        <v>13</v>
      </c>
      <c r="F90">
        <v>47582183</v>
      </c>
      <c r="G90">
        <v>37003728</v>
      </c>
      <c r="H90">
        <v>949334</v>
      </c>
      <c r="I90" s="30">
        <f>G90-H90</f>
        <v>36054394</v>
      </c>
      <c r="J90" t="s">
        <v>23</v>
      </c>
      <c r="K90">
        <v>394505</v>
      </c>
    </row>
    <row r="91">
      <c r="A91" s="25">
        <v>2017</v>
      </c>
      <c r="B91" t="s">
        <v>10</v>
      </c>
      <c r="C91" t="s">
        <v>12</v>
      </c>
      <c r="D91" t="s">
        <v>11</v>
      </c>
      <c r="E91" t="s">
        <v>13</v>
      </c>
      <c r="F91">
        <v>47582183</v>
      </c>
      <c r="G91">
        <v>37003728</v>
      </c>
      <c r="H91">
        <v>949334</v>
      </c>
      <c r="I91" s="30">
        <f>G91-H91</f>
        <v>36054394</v>
      </c>
      <c r="J91" t="s">
        <v>26</v>
      </c>
      <c r="K91">
        <v>332547</v>
      </c>
    </row>
    <row r="92">
      <c r="A92" s="25">
        <v>2017</v>
      </c>
      <c r="B92" t="s">
        <v>10</v>
      </c>
      <c r="C92" t="s">
        <v>12</v>
      </c>
      <c r="D92" t="s">
        <v>11</v>
      </c>
      <c r="E92" t="s">
        <v>13</v>
      </c>
      <c r="F92">
        <v>47582183</v>
      </c>
      <c r="G92">
        <v>37003728</v>
      </c>
      <c r="H92">
        <v>949334</v>
      </c>
      <c r="I92" s="30">
        <f>G92-H92</f>
        <v>36054394</v>
      </c>
      <c r="J92" t="s">
        <v>23</v>
      </c>
      <c r="K92">
        <v>232384</v>
      </c>
    </row>
    <row r="93">
      <c r="A93" s="27">
        <v>2017</v>
      </c>
      <c r="B93" s="28" t="s">
        <v>10</v>
      </c>
      <c r="C93" s="28" t="s">
        <v>12</v>
      </c>
      <c r="D93" s="28" t="s">
        <v>11</v>
      </c>
      <c r="E93" s="28" t="s">
        <v>13</v>
      </c>
      <c r="F93" s="28">
        <v>47582183</v>
      </c>
      <c r="G93" s="28">
        <v>37003728</v>
      </c>
      <c r="H93" s="28">
        <v>949334</v>
      </c>
      <c r="I93" s="32">
        <f>G93-H93</f>
        <v>36054394</v>
      </c>
      <c r="J93" s="28" t="s">
        <v>26</v>
      </c>
      <c r="K93" s="28">
        <v>65586</v>
      </c>
    </row>
    <row r="94">
      <c r="A94" s="22">
        <v>2017</v>
      </c>
      <c r="B94" s="23" t="s">
        <v>10</v>
      </c>
      <c r="C94" s="23" t="s">
        <v>12</v>
      </c>
      <c r="D94" s="23" t="s">
        <v>11</v>
      </c>
      <c r="E94" s="23" t="s">
        <v>19</v>
      </c>
      <c r="F94">
        <v>47568693</v>
      </c>
      <c r="G94">
        <v>35467327</v>
      </c>
      <c r="H94" s="23">
        <v>4085724</v>
      </c>
      <c r="I94" s="31">
        <f>G94-H94</f>
        <v>31381603</v>
      </c>
      <c r="J94" t="s">
        <v>30</v>
      </c>
      <c r="K94">
        <v>20743128</v>
      </c>
    </row>
    <row r="95">
      <c r="A95" s="27">
        <v>2017</v>
      </c>
      <c r="B95" s="28" t="s">
        <v>10</v>
      </c>
      <c r="C95" s="28" t="s">
        <v>12</v>
      </c>
      <c r="D95" s="28" t="s">
        <v>11</v>
      </c>
      <c r="E95" s="28" t="s">
        <v>19</v>
      </c>
      <c r="F95">
        <v>47568693</v>
      </c>
      <c r="G95">
        <v>35467327</v>
      </c>
      <c r="H95" s="28">
        <v>4085724</v>
      </c>
      <c r="I95" s="32">
        <f>G95-H95</f>
        <v>31381603</v>
      </c>
      <c r="J95" t="s">
        <v>20</v>
      </c>
      <c r="K95">
        <v>10638475</v>
      </c>
    </row>
    <row r="96">
      <c r="A96" s="22">
        <v>2017</v>
      </c>
      <c r="B96" s="23" t="s">
        <v>10</v>
      </c>
      <c r="C96" s="23" t="s">
        <v>163</v>
      </c>
      <c r="D96" s="23">
        <v>43</v>
      </c>
      <c r="E96" s="23" t="s">
        <v>13</v>
      </c>
      <c r="F96" s="23">
        <v>177158</v>
      </c>
      <c r="G96" s="23">
        <v>144283</v>
      </c>
      <c r="H96" s="23">
        <v>4706</v>
      </c>
      <c r="I96" s="31">
        <f>G96-H96</f>
        <v>139577</v>
      </c>
      <c r="J96" s="23" t="s">
        <v>30</v>
      </c>
      <c r="K96" s="23">
        <v>32821</v>
      </c>
    </row>
    <row r="97">
      <c r="A97" s="25">
        <v>2017</v>
      </c>
      <c r="B97" t="s">
        <v>10</v>
      </c>
      <c r="C97" t="s">
        <v>163</v>
      </c>
      <c r="D97">
        <v>43</v>
      </c>
      <c r="E97" t="s">
        <v>13</v>
      </c>
      <c r="F97">
        <v>177158</v>
      </c>
      <c r="G97">
        <v>144283</v>
      </c>
      <c r="H97">
        <v>4706</v>
      </c>
      <c r="I97" s="30">
        <f>G97-H97</f>
        <v>139577</v>
      </c>
      <c r="J97" t="s">
        <v>20</v>
      </c>
      <c r="K97">
        <v>32185</v>
      </c>
    </row>
    <row r="98">
      <c r="A98" s="25">
        <v>2017</v>
      </c>
      <c r="B98" t="s">
        <v>10</v>
      </c>
      <c r="C98" t="s">
        <v>163</v>
      </c>
      <c r="D98">
        <v>43</v>
      </c>
      <c r="E98" t="s">
        <v>13</v>
      </c>
      <c r="F98">
        <v>177158</v>
      </c>
      <c r="G98">
        <v>144283</v>
      </c>
      <c r="H98">
        <v>4706</v>
      </c>
      <c r="I98" s="30">
        <f>G98-H98</f>
        <v>139577</v>
      </c>
      <c r="J98" t="s">
        <v>31</v>
      </c>
      <c r="K98">
        <v>25956</v>
      </c>
    </row>
    <row r="99">
      <c r="A99" s="25">
        <v>2017</v>
      </c>
      <c r="B99" t="s">
        <v>10</v>
      </c>
      <c r="C99" t="s">
        <v>163</v>
      </c>
      <c r="D99">
        <v>43</v>
      </c>
      <c r="E99" t="s">
        <v>13</v>
      </c>
      <c r="F99">
        <v>177158</v>
      </c>
      <c r="G99">
        <v>144283</v>
      </c>
      <c r="H99">
        <v>4706</v>
      </c>
      <c r="I99" s="30">
        <f>G99-H99</f>
        <v>139577</v>
      </c>
      <c r="J99" t="s">
        <v>32</v>
      </c>
      <c r="K99">
        <v>25419</v>
      </c>
    </row>
    <row r="100">
      <c r="A100" s="25">
        <v>2017</v>
      </c>
      <c r="B100" t="s">
        <v>10</v>
      </c>
      <c r="C100" t="s">
        <v>163</v>
      </c>
      <c r="D100">
        <v>43</v>
      </c>
      <c r="E100" t="s">
        <v>13</v>
      </c>
      <c r="F100">
        <v>177158</v>
      </c>
      <c r="G100">
        <v>144283</v>
      </c>
      <c r="H100">
        <v>4706</v>
      </c>
      <c r="I100" s="30">
        <f>G100-H100</f>
        <v>139577</v>
      </c>
      <c r="J100" t="s">
        <v>34</v>
      </c>
      <c r="K100">
        <v>8346</v>
      </c>
    </row>
    <row r="101">
      <c r="A101" s="25">
        <v>2017</v>
      </c>
      <c r="B101" t="s">
        <v>10</v>
      </c>
      <c r="C101" t="s">
        <v>163</v>
      </c>
      <c r="D101">
        <v>43</v>
      </c>
      <c r="E101" t="s">
        <v>13</v>
      </c>
      <c r="F101">
        <v>177158</v>
      </c>
      <c r="G101">
        <v>144283</v>
      </c>
      <c r="H101">
        <v>4706</v>
      </c>
      <c r="I101" s="30">
        <f>G101-H101</f>
        <v>139577</v>
      </c>
      <c r="J101" t="s">
        <v>33</v>
      </c>
      <c r="K101">
        <v>7435</v>
      </c>
    </row>
    <row r="102">
      <c r="A102" s="25">
        <v>2017</v>
      </c>
      <c r="B102" t="s">
        <v>10</v>
      </c>
      <c r="C102" t="s">
        <v>163</v>
      </c>
      <c r="D102">
        <v>43</v>
      </c>
      <c r="E102" t="s">
        <v>13</v>
      </c>
      <c r="F102">
        <v>177158</v>
      </c>
      <c r="G102">
        <v>144283</v>
      </c>
      <c r="H102">
        <v>4706</v>
      </c>
      <c r="I102" s="30">
        <f>G102-H102</f>
        <v>139577</v>
      </c>
      <c r="J102" t="s">
        <v>35</v>
      </c>
      <c r="K102">
        <v>3112</v>
      </c>
    </row>
    <row r="103">
      <c r="A103" s="25">
        <v>2017</v>
      </c>
      <c r="B103" t="s">
        <v>10</v>
      </c>
      <c r="C103" t="s">
        <v>163</v>
      </c>
      <c r="D103">
        <v>43</v>
      </c>
      <c r="E103" t="s">
        <v>13</v>
      </c>
      <c r="F103">
        <v>177158</v>
      </c>
      <c r="G103">
        <v>144283</v>
      </c>
      <c r="H103">
        <v>4706</v>
      </c>
      <c r="I103" s="30">
        <f>G103-H103</f>
        <v>139577</v>
      </c>
      <c r="J103" t="s">
        <v>23</v>
      </c>
      <c r="K103">
        <v>1928</v>
      </c>
    </row>
    <row r="104">
      <c r="A104" s="25">
        <v>2017</v>
      </c>
      <c r="B104" t="s">
        <v>10</v>
      </c>
      <c r="C104" t="s">
        <v>163</v>
      </c>
      <c r="D104">
        <v>43</v>
      </c>
      <c r="E104" t="s">
        <v>13</v>
      </c>
      <c r="F104">
        <v>177158</v>
      </c>
      <c r="G104">
        <v>144283</v>
      </c>
      <c r="H104">
        <v>4706</v>
      </c>
      <c r="I104" s="30">
        <f>G104-H104</f>
        <v>139577</v>
      </c>
      <c r="J104" t="s">
        <v>26</v>
      </c>
      <c r="K104">
        <v>1050</v>
      </c>
    </row>
    <row r="105">
      <c r="A105" s="25">
        <v>2017</v>
      </c>
      <c r="B105" t="s">
        <v>10</v>
      </c>
      <c r="C105" t="s">
        <v>163</v>
      </c>
      <c r="D105">
        <v>43</v>
      </c>
      <c r="E105" t="s">
        <v>13</v>
      </c>
      <c r="F105">
        <v>177158</v>
      </c>
      <c r="G105">
        <v>144283</v>
      </c>
      <c r="H105">
        <v>4706</v>
      </c>
      <c r="I105" s="30">
        <f>G105-H105</f>
        <v>139577</v>
      </c>
      <c r="J105" t="s">
        <v>23</v>
      </c>
      <c r="K105">
        <v>1043</v>
      </c>
    </row>
    <row r="106">
      <c r="A106" s="27">
        <v>2017</v>
      </c>
      <c r="B106" s="28" t="s">
        <v>10</v>
      </c>
      <c r="C106" s="28" t="s">
        <v>163</v>
      </c>
      <c r="D106" s="28">
        <v>43</v>
      </c>
      <c r="E106" s="28" t="s">
        <v>13</v>
      </c>
      <c r="F106" s="28">
        <v>177158</v>
      </c>
      <c r="G106" s="28">
        <v>144283</v>
      </c>
      <c r="H106" s="28">
        <v>4706</v>
      </c>
      <c r="I106" s="32">
        <f>G106-H106</f>
        <v>139577</v>
      </c>
      <c r="J106" s="28" t="s">
        <v>26</v>
      </c>
      <c r="K106" s="28">
        <v>282</v>
      </c>
    </row>
    <row r="107">
      <c r="A107" s="22">
        <v>2017</v>
      </c>
      <c r="B107" s="23" t="s">
        <v>10</v>
      </c>
      <c r="C107" s="23" t="s">
        <v>163</v>
      </c>
      <c r="D107" s="23">
        <v>43</v>
      </c>
      <c r="E107" s="23" t="s">
        <v>19</v>
      </c>
      <c r="F107" s="23">
        <v>177116</v>
      </c>
      <c r="G107" s="23">
        <v>139475</v>
      </c>
      <c r="H107" s="23">
        <v>6130</v>
      </c>
      <c r="I107" s="31">
        <f>G107-H107</f>
        <v>133345</v>
      </c>
      <c r="J107" s="23" t="s">
        <v>30</v>
      </c>
      <c r="K107" s="23">
        <v>76233</v>
      </c>
    </row>
    <row r="108">
      <c r="A108" s="27">
        <v>2017</v>
      </c>
      <c r="B108" s="28" t="s">
        <v>10</v>
      </c>
      <c r="C108" s="28" t="s">
        <v>163</v>
      </c>
      <c r="D108" s="28">
        <v>43</v>
      </c>
      <c r="E108" s="28" t="s">
        <v>19</v>
      </c>
      <c r="F108" s="28">
        <v>177116</v>
      </c>
      <c r="G108" s="28">
        <v>139475</v>
      </c>
      <c r="H108" s="28">
        <v>6130</v>
      </c>
      <c r="I108" s="32">
        <f>G108-H108</f>
        <v>133345</v>
      </c>
      <c r="J108" s="28" t="s">
        <v>20</v>
      </c>
      <c r="K108" s="28">
        <v>44112</v>
      </c>
    </row>
    <row r="109">
      <c r="A109" s="22">
        <v>2017</v>
      </c>
      <c r="B109" s="23" t="s">
        <v>164</v>
      </c>
      <c r="C109" s="23" t="s">
        <v>12</v>
      </c>
      <c r="D109" s="23" t="s">
        <v>11</v>
      </c>
      <c r="E109" s="23" t="s">
        <v>13</v>
      </c>
      <c r="F109" s="23">
        <v>47570988</v>
      </c>
      <c r="G109" s="23">
        <v>23167508</v>
      </c>
      <c r="H109" s="23">
        <v>513344</v>
      </c>
      <c r="I109" s="31">
        <f>G109-H109</f>
        <v>22654164</v>
      </c>
      <c r="J109" s="23" t="s">
        <v>23</v>
      </c>
      <c r="K109" s="23">
        <v>175214</v>
      </c>
    </row>
    <row r="110">
      <c r="A110" s="25">
        <v>2017</v>
      </c>
      <c r="B110" t="s">
        <v>164</v>
      </c>
      <c r="C110" t="s">
        <v>12</v>
      </c>
      <c r="D110" t="s">
        <v>11</v>
      </c>
      <c r="E110" t="s">
        <v>13</v>
      </c>
      <c r="F110">
        <v>47570988</v>
      </c>
      <c r="G110">
        <v>23167508</v>
      </c>
      <c r="H110">
        <v>513344</v>
      </c>
      <c r="I110" s="30">
        <f>G110-H110</f>
        <v>22654164</v>
      </c>
      <c r="J110" t="s">
        <v>40</v>
      </c>
      <c r="K110">
        <v>615487</v>
      </c>
    </row>
    <row r="111">
      <c r="A111" s="25">
        <v>2017</v>
      </c>
      <c r="B111" t="s">
        <v>164</v>
      </c>
      <c r="C111" t="s">
        <v>12</v>
      </c>
      <c r="D111" t="s">
        <v>11</v>
      </c>
      <c r="E111" t="s">
        <v>13</v>
      </c>
      <c r="F111">
        <v>47570988</v>
      </c>
      <c r="G111">
        <v>23167508</v>
      </c>
      <c r="H111">
        <v>513344</v>
      </c>
      <c r="I111" s="30">
        <f>G111-H111</f>
        <v>22654164</v>
      </c>
      <c r="J111" t="s">
        <v>32</v>
      </c>
      <c r="K111">
        <v>2497622</v>
      </c>
    </row>
    <row r="112">
      <c r="A112" s="25">
        <v>2017</v>
      </c>
      <c r="B112" t="s">
        <v>164</v>
      </c>
      <c r="C112" t="s">
        <v>12</v>
      </c>
      <c r="D112" t="s">
        <v>11</v>
      </c>
      <c r="E112" t="s">
        <v>13</v>
      </c>
      <c r="F112">
        <v>47570988</v>
      </c>
      <c r="G112">
        <v>23167508</v>
      </c>
      <c r="H112">
        <v>513344</v>
      </c>
      <c r="I112" s="30">
        <f>G112-H112</f>
        <v>22654164</v>
      </c>
      <c r="J112" t="s">
        <v>33</v>
      </c>
      <c r="K112">
        <v>1685677</v>
      </c>
    </row>
    <row r="113">
      <c r="A113" s="25">
        <v>2017</v>
      </c>
      <c r="B113" t="s">
        <v>164</v>
      </c>
      <c r="C113" t="s">
        <v>12</v>
      </c>
      <c r="D113" t="s">
        <v>11</v>
      </c>
      <c r="E113" t="s">
        <v>13</v>
      </c>
      <c r="F113">
        <v>47570988</v>
      </c>
      <c r="G113">
        <v>23167508</v>
      </c>
      <c r="H113">
        <v>513344</v>
      </c>
      <c r="I113" s="30">
        <f>G113-H113</f>
        <v>22654164</v>
      </c>
      <c r="J113" t="s">
        <v>50</v>
      </c>
      <c r="K113">
        <v>106311</v>
      </c>
    </row>
    <row r="114">
      <c r="A114" s="25">
        <v>2017</v>
      </c>
      <c r="B114" t="s">
        <v>164</v>
      </c>
      <c r="C114" t="s">
        <v>12</v>
      </c>
      <c r="D114" t="s">
        <v>11</v>
      </c>
      <c r="E114" t="s">
        <v>13</v>
      </c>
      <c r="F114">
        <v>47570988</v>
      </c>
      <c r="G114">
        <v>23167508</v>
      </c>
      <c r="H114">
        <v>513344</v>
      </c>
      <c r="I114" s="30">
        <f>G114-H114</f>
        <v>22654164</v>
      </c>
      <c r="J114" t="s">
        <v>43</v>
      </c>
      <c r="K114">
        <v>362281</v>
      </c>
    </row>
    <row r="115">
      <c r="A115" s="25">
        <v>2017</v>
      </c>
      <c r="B115" t="s">
        <v>164</v>
      </c>
      <c r="C115" t="s">
        <v>12</v>
      </c>
      <c r="D115" t="s">
        <v>11</v>
      </c>
      <c r="E115" t="s">
        <v>13</v>
      </c>
      <c r="F115">
        <v>47570988</v>
      </c>
      <c r="G115">
        <v>23167508</v>
      </c>
      <c r="H115">
        <v>513344</v>
      </c>
      <c r="I115" s="30">
        <f>G115-H115</f>
        <v>22654164</v>
      </c>
      <c r="J115" t="s">
        <v>14</v>
      </c>
      <c r="K115">
        <v>973527</v>
      </c>
    </row>
    <row r="116">
      <c r="A116" s="25">
        <v>2017</v>
      </c>
      <c r="B116" t="s">
        <v>164</v>
      </c>
      <c r="C116" t="s">
        <v>12</v>
      </c>
      <c r="D116" t="s">
        <v>11</v>
      </c>
      <c r="E116" t="s">
        <v>13</v>
      </c>
      <c r="F116">
        <v>47570988</v>
      </c>
      <c r="G116">
        <v>23167508</v>
      </c>
      <c r="H116">
        <v>513344</v>
      </c>
      <c r="I116" s="30">
        <f>G116-H116</f>
        <v>22654164</v>
      </c>
      <c r="J116" t="s">
        <v>35</v>
      </c>
      <c r="K116">
        <v>500309</v>
      </c>
    </row>
    <row r="117">
      <c r="A117" s="25">
        <v>2017</v>
      </c>
      <c r="B117" t="s">
        <v>164</v>
      </c>
      <c r="C117" t="s">
        <v>12</v>
      </c>
      <c r="D117" t="s">
        <v>11</v>
      </c>
      <c r="E117" t="s">
        <v>13</v>
      </c>
      <c r="F117">
        <v>47570988</v>
      </c>
      <c r="G117">
        <v>23167508</v>
      </c>
      <c r="H117">
        <v>513344</v>
      </c>
      <c r="I117" s="30">
        <f>G117-H117</f>
        <v>22654164</v>
      </c>
      <c r="J117" t="s">
        <v>45</v>
      </c>
      <c r="K117">
        <v>204049</v>
      </c>
    </row>
    <row r="118">
      <c r="A118" s="25">
        <v>2017</v>
      </c>
      <c r="B118" t="s">
        <v>164</v>
      </c>
      <c r="C118" t="s">
        <v>12</v>
      </c>
      <c r="D118" t="s">
        <v>11</v>
      </c>
      <c r="E118" t="s">
        <v>13</v>
      </c>
      <c r="F118">
        <v>47570988</v>
      </c>
      <c r="G118">
        <v>23167508</v>
      </c>
      <c r="H118">
        <v>513344</v>
      </c>
      <c r="I118" s="30">
        <f>G118-H118</f>
        <v>22654164</v>
      </c>
      <c r="J118" t="s">
        <v>30</v>
      </c>
      <c r="K118">
        <v>6391269</v>
      </c>
    </row>
    <row r="119">
      <c r="A119" s="25">
        <v>2017</v>
      </c>
      <c r="B119" t="s">
        <v>164</v>
      </c>
      <c r="C119" t="s">
        <v>12</v>
      </c>
      <c r="D119" t="s">
        <v>11</v>
      </c>
      <c r="E119" t="s">
        <v>13</v>
      </c>
      <c r="F119">
        <v>47570988</v>
      </c>
      <c r="G119">
        <v>23167508</v>
      </c>
      <c r="H119">
        <v>513344</v>
      </c>
      <c r="I119" s="30">
        <f>G119-H119</f>
        <v>22654164</v>
      </c>
      <c r="J119" t="s">
        <v>95</v>
      </c>
      <c r="K119">
        <v>932227</v>
      </c>
    </row>
    <row r="120">
      <c r="A120" s="25">
        <v>2017</v>
      </c>
      <c r="B120" t="s">
        <v>164</v>
      </c>
      <c r="C120" t="s">
        <v>12</v>
      </c>
      <c r="D120" t="s">
        <v>11</v>
      </c>
      <c r="E120" t="s">
        <v>13</v>
      </c>
      <c r="F120">
        <v>47570988</v>
      </c>
      <c r="G120">
        <v>23167508</v>
      </c>
      <c r="H120">
        <v>513344</v>
      </c>
      <c r="I120" s="30">
        <f>G120-H120</f>
        <v>22654164</v>
      </c>
      <c r="J120" t="s">
        <v>47</v>
      </c>
      <c r="K120">
        <v>687225</v>
      </c>
    </row>
    <row r="121">
      <c r="A121" s="25">
        <v>2017</v>
      </c>
      <c r="B121" t="s">
        <v>164</v>
      </c>
      <c r="C121" t="s">
        <v>12</v>
      </c>
      <c r="D121" t="s">
        <v>11</v>
      </c>
      <c r="E121" t="s">
        <v>13</v>
      </c>
      <c r="F121">
        <v>47570988</v>
      </c>
      <c r="G121">
        <v>23167508</v>
      </c>
      <c r="H121">
        <v>513344</v>
      </c>
      <c r="I121" s="30">
        <f>G121-H121</f>
        <v>22654164</v>
      </c>
      <c r="J121" t="s">
        <v>31</v>
      </c>
      <c r="K121">
        <v>3573427</v>
      </c>
    </row>
    <row r="122">
      <c r="A122" s="25">
        <v>2017</v>
      </c>
      <c r="B122" t="s">
        <v>164</v>
      </c>
      <c r="C122" t="s">
        <v>12</v>
      </c>
      <c r="D122" t="s">
        <v>11</v>
      </c>
      <c r="E122" t="s">
        <v>13</v>
      </c>
      <c r="F122">
        <v>47570988</v>
      </c>
      <c r="G122">
        <v>23167508</v>
      </c>
      <c r="H122">
        <v>513344</v>
      </c>
      <c r="I122" s="30">
        <f>G122-H122</f>
        <v>22654164</v>
      </c>
      <c r="J122" t="s">
        <v>26</v>
      </c>
      <c r="K122">
        <v>625345</v>
      </c>
    </row>
    <row r="123">
      <c r="A123" s="25">
        <v>2017</v>
      </c>
      <c r="B123" t="s">
        <v>164</v>
      </c>
      <c r="C123" t="s">
        <v>12</v>
      </c>
      <c r="D123" t="s">
        <v>11</v>
      </c>
      <c r="E123" t="s">
        <v>13</v>
      </c>
      <c r="F123">
        <v>47570988</v>
      </c>
      <c r="G123">
        <v>23167508</v>
      </c>
      <c r="H123">
        <v>513344</v>
      </c>
      <c r="I123" s="30">
        <f>G123-H123</f>
        <v>22654164</v>
      </c>
      <c r="J123" t="s">
        <v>34</v>
      </c>
      <c r="K123">
        <v>265420</v>
      </c>
    </row>
    <row r="124">
      <c r="A124" s="25">
        <v>2017</v>
      </c>
      <c r="B124" t="s">
        <v>164</v>
      </c>
      <c r="C124" t="s">
        <v>12</v>
      </c>
      <c r="D124" t="s">
        <v>11</v>
      </c>
      <c r="E124" t="s">
        <v>13</v>
      </c>
      <c r="F124">
        <v>47570988</v>
      </c>
      <c r="G124">
        <v>23167508</v>
      </c>
      <c r="H124">
        <v>513344</v>
      </c>
      <c r="I124" s="30">
        <f>G124-H124</f>
        <v>22654164</v>
      </c>
      <c r="J124" t="s">
        <v>20</v>
      </c>
      <c r="K124">
        <v>2990454</v>
      </c>
    </row>
    <row r="125">
      <c r="A125" s="27">
        <v>2017</v>
      </c>
      <c r="B125" s="28" t="s">
        <v>164</v>
      </c>
      <c r="C125" s="28" t="s">
        <v>12</v>
      </c>
      <c r="D125" s="28" t="s">
        <v>11</v>
      </c>
      <c r="E125" s="28" t="s">
        <v>13</v>
      </c>
      <c r="F125" s="28">
        <v>47570988</v>
      </c>
      <c r="G125" s="28">
        <v>23167508</v>
      </c>
      <c r="H125" s="28">
        <v>513344</v>
      </c>
      <c r="I125" s="32">
        <f>G125-H125</f>
        <v>22654164</v>
      </c>
      <c r="J125" s="28" t="s">
        <v>49</v>
      </c>
      <c r="K125" s="28">
        <v>68320</v>
      </c>
    </row>
    <row r="126">
      <c r="A126" s="22">
        <v>2017</v>
      </c>
      <c r="B126" s="23" t="s">
        <v>164</v>
      </c>
      <c r="C126" s="23" t="s">
        <v>12</v>
      </c>
      <c r="D126" s="23" t="s">
        <v>11</v>
      </c>
      <c r="E126" s="23" t="s">
        <v>19</v>
      </c>
      <c r="F126" s="23">
        <v>47293103</v>
      </c>
      <c r="G126" s="23">
        <v>20164615</v>
      </c>
      <c r="H126" s="23">
        <v>1988549</v>
      </c>
      <c r="I126" s="31">
        <f>G126-H126</f>
        <v>18176066</v>
      </c>
      <c r="J126" s="23" t="s">
        <v>40</v>
      </c>
      <c r="K126" s="23">
        <v>217833</v>
      </c>
    </row>
    <row r="127">
      <c r="A127" s="25">
        <v>2017</v>
      </c>
      <c r="B127" t="s">
        <v>164</v>
      </c>
      <c r="C127" t="s">
        <v>12</v>
      </c>
      <c r="D127" t="s">
        <v>11</v>
      </c>
      <c r="E127" t="s">
        <v>19</v>
      </c>
      <c r="F127">
        <v>47293103</v>
      </c>
      <c r="G127">
        <v>20164615</v>
      </c>
      <c r="H127">
        <v>1988549</v>
      </c>
      <c r="I127" s="30">
        <f>G127-H127</f>
        <v>18176066</v>
      </c>
      <c r="J127" t="s">
        <v>32</v>
      </c>
      <c r="K127">
        <v>883573</v>
      </c>
    </row>
    <row r="128">
      <c r="A128" s="25">
        <v>2017</v>
      </c>
      <c r="B128" t="s">
        <v>164</v>
      </c>
      <c r="C128" t="s">
        <v>12</v>
      </c>
      <c r="D128" t="s">
        <v>11</v>
      </c>
      <c r="E128" t="s">
        <v>19</v>
      </c>
      <c r="F128">
        <v>47293103</v>
      </c>
      <c r="G128">
        <v>20164615</v>
      </c>
      <c r="H128">
        <v>1988549</v>
      </c>
      <c r="I128" s="30">
        <f>G128-H128</f>
        <v>18176066</v>
      </c>
      <c r="J128" t="s">
        <v>33</v>
      </c>
      <c r="K128">
        <v>1032842</v>
      </c>
    </row>
    <row r="129">
      <c r="A129" s="25">
        <v>2017</v>
      </c>
      <c r="B129" t="s">
        <v>164</v>
      </c>
      <c r="C129" t="s">
        <v>12</v>
      </c>
      <c r="D129" t="s">
        <v>11</v>
      </c>
      <c r="E129" t="s">
        <v>19</v>
      </c>
      <c r="F129">
        <v>47293103</v>
      </c>
      <c r="G129">
        <v>20164615</v>
      </c>
      <c r="H129">
        <v>1988549</v>
      </c>
      <c r="I129" s="30">
        <f>G129-H129</f>
        <v>18176066</v>
      </c>
      <c r="J129" t="s">
        <v>50</v>
      </c>
      <c r="K129">
        <v>64860</v>
      </c>
    </row>
    <row r="130">
      <c r="A130" s="25">
        <v>2017</v>
      </c>
      <c r="B130" t="s">
        <v>164</v>
      </c>
      <c r="C130" t="s">
        <v>12</v>
      </c>
      <c r="D130" t="s">
        <v>11</v>
      </c>
      <c r="E130" t="s">
        <v>19</v>
      </c>
      <c r="F130">
        <v>47293103</v>
      </c>
      <c r="G130">
        <v>20164615</v>
      </c>
      <c r="H130">
        <v>1988549</v>
      </c>
      <c r="I130" s="30">
        <f>G130-H130</f>
        <v>18176066</v>
      </c>
      <c r="J130" t="s">
        <v>43</v>
      </c>
      <c r="K130">
        <v>263488</v>
      </c>
    </row>
    <row r="131">
      <c r="A131" s="25">
        <v>2017</v>
      </c>
      <c r="B131" t="s">
        <v>164</v>
      </c>
      <c r="C131" t="s">
        <v>12</v>
      </c>
      <c r="D131" t="s">
        <v>11</v>
      </c>
      <c r="E131" t="s">
        <v>19</v>
      </c>
      <c r="F131">
        <v>47293103</v>
      </c>
      <c r="G131">
        <v>20164615</v>
      </c>
      <c r="H131">
        <v>1988549</v>
      </c>
      <c r="I131" s="30">
        <f>G131-H131</f>
        <v>18176066</v>
      </c>
      <c r="J131" t="s">
        <v>14</v>
      </c>
      <c r="K131">
        <v>23197</v>
      </c>
    </row>
    <row r="132">
      <c r="A132" s="25">
        <v>2017</v>
      </c>
      <c r="B132" t="s">
        <v>164</v>
      </c>
      <c r="C132" t="s">
        <v>12</v>
      </c>
      <c r="D132" t="s">
        <v>11</v>
      </c>
      <c r="E132" t="s">
        <v>19</v>
      </c>
      <c r="F132">
        <v>47293103</v>
      </c>
      <c r="G132">
        <v>20164615</v>
      </c>
      <c r="H132">
        <v>1988549</v>
      </c>
      <c r="I132" s="30">
        <f>G132-H132</f>
        <v>18176066</v>
      </c>
      <c r="J132" t="s">
        <v>35</v>
      </c>
      <c r="K132">
        <v>100574</v>
      </c>
    </row>
    <row r="133">
      <c r="A133" s="25">
        <v>2017</v>
      </c>
      <c r="B133" t="s">
        <v>164</v>
      </c>
      <c r="C133" t="s">
        <v>12</v>
      </c>
      <c r="D133" t="s">
        <v>11</v>
      </c>
      <c r="E133" t="s">
        <v>19</v>
      </c>
      <c r="F133">
        <v>47293103</v>
      </c>
      <c r="G133">
        <v>20164615</v>
      </c>
      <c r="H133">
        <v>1988549</v>
      </c>
      <c r="I133" s="30">
        <f>G133-H133</f>
        <v>18176066</v>
      </c>
      <c r="J133" t="s">
        <v>45</v>
      </c>
      <c r="K133">
        <v>137490</v>
      </c>
    </row>
    <row r="134">
      <c r="A134" s="25">
        <v>2017</v>
      </c>
      <c r="B134" t="s">
        <v>164</v>
      </c>
      <c r="C134" t="s">
        <v>12</v>
      </c>
      <c r="D134" t="s">
        <v>11</v>
      </c>
      <c r="E134" t="s">
        <v>19</v>
      </c>
      <c r="F134">
        <v>47293103</v>
      </c>
      <c r="G134">
        <v>20164615</v>
      </c>
      <c r="H134">
        <v>1988549</v>
      </c>
      <c r="I134" s="30">
        <f>G134-H134</f>
        <v>18176066</v>
      </c>
      <c r="J134" t="s">
        <v>30</v>
      </c>
      <c r="K134">
        <v>7826245</v>
      </c>
    </row>
    <row r="135">
      <c r="A135" s="25">
        <v>2017</v>
      </c>
      <c r="B135" t="s">
        <v>164</v>
      </c>
      <c r="C135" t="s">
        <v>12</v>
      </c>
      <c r="D135" t="s">
        <v>11</v>
      </c>
      <c r="E135" t="s">
        <v>19</v>
      </c>
      <c r="F135">
        <v>47293103</v>
      </c>
      <c r="G135">
        <v>20164615</v>
      </c>
      <c r="H135">
        <v>1988549</v>
      </c>
      <c r="I135" s="30">
        <f>G135-H135</f>
        <v>18176066</v>
      </c>
      <c r="J135" t="s">
        <v>95</v>
      </c>
      <c r="K135">
        <v>1100656</v>
      </c>
    </row>
    <row r="136">
      <c r="A136" s="25">
        <v>2017</v>
      </c>
      <c r="B136" t="s">
        <v>164</v>
      </c>
      <c r="C136" t="s">
        <v>12</v>
      </c>
      <c r="D136" t="s">
        <v>11</v>
      </c>
      <c r="E136" t="s">
        <v>19</v>
      </c>
      <c r="F136">
        <v>47293103</v>
      </c>
      <c r="G136">
        <v>20164615</v>
      </c>
      <c r="H136">
        <v>1988549</v>
      </c>
      <c r="I136" s="30">
        <f>G136-H136</f>
        <v>18176066</v>
      </c>
      <c r="J136" t="s">
        <v>47</v>
      </c>
      <c r="K136">
        <v>551784</v>
      </c>
    </row>
    <row r="137">
      <c r="A137" s="25">
        <v>2017</v>
      </c>
      <c r="B137" t="s">
        <v>164</v>
      </c>
      <c r="C137" t="s">
        <v>12</v>
      </c>
      <c r="D137" t="s">
        <v>11</v>
      </c>
      <c r="E137" t="s">
        <v>19</v>
      </c>
      <c r="F137">
        <v>47293103</v>
      </c>
      <c r="G137">
        <v>20164615</v>
      </c>
      <c r="H137">
        <v>1988549</v>
      </c>
      <c r="I137" s="30">
        <f>G137-H137</f>
        <v>18176066</v>
      </c>
      <c r="J137" t="s">
        <v>31</v>
      </c>
      <c r="K137">
        <v>4040203</v>
      </c>
    </row>
    <row r="138">
      <c r="A138" s="25">
        <v>2017</v>
      </c>
      <c r="B138" t="s">
        <v>164</v>
      </c>
      <c r="C138" t="s">
        <v>12</v>
      </c>
      <c r="D138" t="s">
        <v>11</v>
      </c>
      <c r="E138" t="s">
        <v>19</v>
      </c>
      <c r="F138">
        <v>47293103</v>
      </c>
      <c r="G138">
        <v>20164615</v>
      </c>
      <c r="H138">
        <v>1988549</v>
      </c>
      <c r="I138" s="30">
        <f>G138-H138</f>
        <v>18176066</v>
      </c>
      <c r="J138" t="s">
        <v>26</v>
      </c>
      <c r="K138">
        <v>306074</v>
      </c>
    </row>
    <row r="139">
      <c r="A139" s="25">
        <v>2017</v>
      </c>
      <c r="B139" t="s">
        <v>164</v>
      </c>
      <c r="C139" t="s">
        <v>12</v>
      </c>
      <c r="D139" t="s">
        <v>11</v>
      </c>
      <c r="E139" t="s">
        <v>19</v>
      </c>
      <c r="F139">
        <v>47293103</v>
      </c>
      <c r="G139">
        <v>20164615</v>
      </c>
      <c r="H139">
        <v>1988549</v>
      </c>
      <c r="I139" s="30">
        <f>G139-H139</f>
        <v>18176066</v>
      </c>
      <c r="J139" t="s">
        <v>34</v>
      </c>
      <c r="K139">
        <v>17344</v>
      </c>
    </row>
    <row r="140">
      <c r="A140" s="25">
        <v>2017</v>
      </c>
      <c r="B140" t="s">
        <v>164</v>
      </c>
      <c r="C140" t="s">
        <v>12</v>
      </c>
      <c r="D140" t="s">
        <v>11</v>
      </c>
      <c r="E140" t="s">
        <v>19</v>
      </c>
      <c r="F140">
        <v>47293103</v>
      </c>
      <c r="G140">
        <v>20164615</v>
      </c>
      <c r="H140">
        <v>1988549</v>
      </c>
      <c r="I140" s="30">
        <f>G140-H140</f>
        <v>18176066</v>
      </c>
      <c r="J140" t="s">
        <v>20</v>
      </c>
      <c r="K140">
        <v>1590869</v>
      </c>
    </row>
    <row r="141">
      <c r="A141" s="27">
        <v>2017</v>
      </c>
      <c r="B141" s="28" t="s">
        <v>164</v>
      </c>
      <c r="C141" s="28" t="s">
        <v>12</v>
      </c>
      <c r="D141" s="28" t="s">
        <v>11</v>
      </c>
      <c r="E141" s="28" t="s">
        <v>19</v>
      </c>
      <c r="F141" s="28">
        <v>47293103</v>
      </c>
      <c r="G141" s="28">
        <v>20164615</v>
      </c>
      <c r="H141" s="28">
        <v>1988549</v>
      </c>
      <c r="I141" s="32">
        <f>G141-H141</f>
        <v>18176066</v>
      </c>
      <c r="J141" s="28" t="s">
        <v>49</v>
      </c>
      <c r="K141" s="28">
        <v>19034</v>
      </c>
    </row>
    <row r="142">
      <c r="A142" s="22">
        <v>2017</v>
      </c>
      <c r="B142" s="23" t="s">
        <v>164</v>
      </c>
      <c r="C142" s="23" t="s">
        <v>165</v>
      </c>
      <c r="D142" s="23">
        <v>4301</v>
      </c>
      <c r="E142" s="23" t="s">
        <v>13</v>
      </c>
      <c r="F142" s="23">
        <v>97787</v>
      </c>
      <c r="G142" s="23">
        <v>53752</v>
      </c>
      <c r="H142" s="23">
        <v>895</v>
      </c>
      <c r="I142" s="31">
        <f>G142-H142</f>
        <v>52857</v>
      </c>
      <c r="J142" s="23" t="s">
        <v>31</v>
      </c>
      <c r="K142" s="23">
        <v>21615</v>
      </c>
    </row>
    <row r="143">
      <c r="A143" s="25">
        <v>2017</v>
      </c>
      <c r="B143" t="s">
        <v>164</v>
      </c>
      <c r="C143" t="s">
        <v>165</v>
      </c>
      <c r="D143">
        <v>4301</v>
      </c>
      <c r="E143" t="s">
        <v>13</v>
      </c>
      <c r="F143">
        <v>97787</v>
      </c>
      <c r="G143">
        <v>53752</v>
      </c>
      <c r="H143">
        <v>895</v>
      </c>
      <c r="I143" s="30">
        <f>G143-H143</f>
        <v>52857</v>
      </c>
      <c r="J143" t="s">
        <v>30</v>
      </c>
      <c r="K143">
        <v>16423</v>
      </c>
    </row>
    <row r="144">
      <c r="A144" s="25">
        <v>2017</v>
      </c>
      <c r="B144" t="s">
        <v>164</v>
      </c>
      <c r="C144" t="s">
        <v>165</v>
      </c>
      <c r="D144">
        <v>4301</v>
      </c>
      <c r="E144" t="s">
        <v>13</v>
      </c>
      <c r="F144">
        <v>97787</v>
      </c>
      <c r="G144">
        <v>53752</v>
      </c>
      <c r="H144">
        <v>895</v>
      </c>
      <c r="I144" s="30">
        <f>G144-H144</f>
        <v>52857</v>
      </c>
      <c r="J144" t="s">
        <v>20</v>
      </c>
      <c r="K144">
        <v>4974</v>
      </c>
    </row>
    <row r="145">
      <c r="A145" s="25">
        <v>2017</v>
      </c>
      <c r="B145" t="s">
        <v>164</v>
      </c>
      <c r="C145" t="s">
        <v>165</v>
      </c>
      <c r="D145">
        <v>4301</v>
      </c>
      <c r="E145" t="s">
        <v>13</v>
      </c>
      <c r="F145">
        <v>97787</v>
      </c>
      <c r="G145">
        <v>53752</v>
      </c>
      <c r="H145">
        <v>895</v>
      </c>
      <c r="I145" s="30">
        <f>G145-H145</f>
        <v>52857</v>
      </c>
      <c r="J145" t="s">
        <v>32</v>
      </c>
      <c r="K145">
        <v>4721</v>
      </c>
    </row>
    <row r="146">
      <c r="A146" s="25">
        <v>2017</v>
      </c>
      <c r="B146" t="s">
        <v>164</v>
      </c>
      <c r="C146" t="s">
        <v>165</v>
      </c>
      <c r="D146">
        <v>4301</v>
      </c>
      <c r="E146" t="s">
        <v>13</v>
      </c>
      <c r="F146">
        <v>97787</v>
      </c>
      <c r="G146">
        <v>53752</v>
      </c>
      <c r="H146">
        <v>895</v>
      </c>
      <c r="I146" s="30">
        <f>G146-H146</f>
        <v>52857</v>
      </c>
      <c r="J146" t="s">
        <v>33</v>
      </c>
      <c r="K146">
        <v>1453</v>
      </c>
    </row>
    <row r="147">
      <c r="A147" s="25">
        <v>2017</v>
      </c>
      <c r="B147" t="s">
        <v>164</v>
      </c>
      <c r="C147" t="s">
        <v>165</v>
      </c>
      <c r="D147">
        <v>4301</v>
      </c>
      <c r="E147" t="s">
        <v>13</v>
      </c>
      <c r="F147">
        <v>97787</v>
      </c>
      <c r="G147">
        <v>53752</v>
      </c>
      <c r="H147">
        <v>895</v>
      </c>
      <c r="I147" s="30">
        <f>G147-H147</f>
        <v>52857</v>
      </c>
      <c r="J147" t="s">
        <v>14</v>
      </c>
      <c r="K147">
        <v>1402</v>
      </c>
    </row>
    <row r="148">
      <c r="A148" s="25">
        <v>2017</v>
      </c>
      <c r="B148" t="s">
        <v>164</v>
      </c>
      <c r="C148" t="s">
        <v>165</v>
      </c>
      <c r="D148">
        <v>4301</v>
      </c>
      <c r="E148" t="s">
        <v>13</v>
      </c>
      <c r="F148">
        <v>97787</v>
      </c>
      <c r="G148">
        <v>53752</v>
      </c>
      <c r="H148">
        <v>895</v>
      </c>
      <c r="I148" s="30">
        <f>G148-H148</f>
        <v>52857</v>
      </c>
      <c r="J148" t="s">
        <v>43</v>
      </c>
      <c r="K148">
        <v>940</v>
      </c>
    </row>
    <row r="149">
      <c r="A149" s="25">
        <v>2017</v>
      </c>
      <c r="B149" t="s">
        <v>164</v>
      </c>
      <c r="C149" t="s">
        <v>165</v>
      </c>
      <c r="D149">
        <v>4301</v>
      </c>
      <c r="E149" t="s">
        <v>13</v>
      </c>
      <c r="F149">
        <v>97787</v>
      </c>
      <c r="G149">
        <v>53752</v>
      </c>
      <c r="H149">
        <v>895</v>
      </c>
      <c r="I149" s="30">
        <f>G149-H149</f>
        <v>52857</v>
      </c>
      <c r="J149" t="s">
        <v>14</v>
      </c>
      <c r="K149">
        <v>471</v>
      </c>
    </row>
    <row r="150">
      <c r="A150" s="25">
        <v>2017</v>
      </c>
      <c r="B150" t="s">
        <v>164</v>
      </c>
      <c r="C150" t="s">
        <v>165</v>
      </c>
      <c r="D150">
        <v>4301</v>
      </c>
      <c r="E150" t="s">
        <v>13</v>
      </c>
      <c r="F150">
        <v>97787</v>
      </c>
      <c r="G150">
        <v>53752</v>
      </c>
      <c r="H150">
        <v>895</v>
      </c>
      <c r="I150" s="30">
        <f>G150-H150</f>
        <v>52857</v>
      </c>
      <c r="J150" t="s">
        <v>34</v>
      </c>
      <c r="K150">
        <v>421</v>
      </c>
    </row>
    <row r="151">
      <c r="A151" s="25">
        <v>2017</v>
      </c>
      <c r="B151" t="s">
        <v>164</v>
      </c>
      <c r="C151" t="s">
        <v>165</v>
      </c>
      <c r="D151">
        <v>4301</v>
      </c>
      <c r="E151" t="s">
        <v>13</v>
      </c>
      <c r="F151">
        <v>97787</v>
      </c>
      <c r="G151">
        <v>53752</v>
      </c>
      <c r="H151">
        <v>895</v>
      </c>
      <c r="I151" s="30">
        <f>G151-H151</f>
        <v>52857</v>
      </c>
      <c r="J151" t="s">
        <v>23</v>
      </c>
      <c r="K151">
        <v>259</v>
      </c>
    </row>
    <row r="152">
      <c r="A152" s="25">
        <v>2017</v>
      </c>
      <c r="B152" t="s">
        <v>164</v>
      </c>
      <c r="C152" t="s">
        <v>165</v>
      </c>
      <c r="D152">
        <v>4301</v>
      </c>
      <c r="E152" t="s">
        <v>13</v>
      </c>
      <c r="F152">
        <v>97787</v>
      </c>
      <c r="G152">
        <v>53752</v>
      </c>
      <c r="H152">
        <v>895</v>
      </c>
      <c r="I152" s="30">
        <f>G152-H152</f>
        <v>52857</v>
      </c>
      <c r="J152" t="s">
        <v>35</v>
      </c>
      <c r="K152">
        <v>178</v>
      </c>
    </row>
    <row r="153">
      <c r="A153" s="27">
        <v>2017</v>
      </c>
      <c r="B153" s="28" t="s">
        <v>164</v>
      </c>
      <c r="C153" t="s">
        <v>165</v>
      </c>
      <c r="D153" s="28">
        <v>4301</v>
      </c>
      <c r="E153" s="28" t="s">
        <v>13</v>
      </c>
      <c r="F153" s="28">
        <v>97787</v>
      </c>
      <c r="G153" s="28">
        <v>53752</v>
      </c>
      <c r="H153" s="28">
        <v>895</v>
      </c>
      <c r="I153" s="32">
        <f>G153-H153</f>
        <v>52857</v>
      </c>
      <c r="J153" s="28" t="s">
        <v>35</v>
      </c>
      <c r="K153" s="28">
        <v>0</v>
      </c>
    </row>
    <row r="154">
      <c r="A154" s="22">
        <v>2017</v>
      </c>
      <c r="B154" s="23" t="s">
        <v>164</v>
      </c>
      <c r="C154" s="23" t="s">
        <v>165</v>
      </c>
      <c r="D154" s="23">
        <v>4301</v>
      </c>
      <c r="E154" s="23" t="s">
        <v>19</v>
      </c>
      <c r="F154" s="23">
        <v>97790</v>
      </c>
      <c r="G154" s="23">
        <v>48657</v>
      </c>
      <c r="H154" s="23">
        <v>3180</v>
      </c>
      <c r="I154" s="31">
        <f>G154-H154</f>
        <v>45477</v>
      </c>
      <c r="J154" s="23" t="s">
        <v>31</v>
      </c>
      <c r="K154" s="23">
        <v>26705</v>
      </c>
    </row>
    <row r="155">
      <c r="A155" s="27">
        <v>2017</v>
      </c>
      <c r="B155" s="28" t="s">
        <v>164</v>
      </c>
      <c r="C155" s="28" t="s">
        <v>165</v>
      </c>
      <c r="D155" s="28">
        <v>4301</v>
      </c>
      <c r="E155" s="28" t="s">
        <v>19</v>
      </c>
      <c r="F155" s="28">
        <v>97790</v>
      </c>
      <c r="G155" s="28">
        <v>48657</v>
      </c>
      <c r="H155" s="28">
        <v>3180</v>
      </c>
      <c r="I155" s="32">
        <f>G155-H155</f>
        <v>45477</v>
      </c>
      <c r="J155" s="28" t="s">
        <v>30</v>
      </c>
      <c r="K155" s="28">
        <v>18772</v>
      </c>
    </row>
    <row r="156">
      <c r="A156" s="22">
        <v>2017</v>
      </c>
      <c r="B156" s="23" t="s">
        <v>164</v>
      </c>
      <c r="C156" s="23" t="s">
        <v>165</v>
      </c>
      <c r="D156" s="23">
        <v>4302</v>
      </c>
      <c r="E156" s="23" t="s">
        <v>13</v>
      </c>
      <c r="F156" s="23">
        <v>79463</v>
      </c>
      <c r="G156" s="23">
        <v>42408</v>
      </c>
      <c r="H156" s="23">
        <v>947</v>
      </c>
      <c r="I156" s="31">
        <f>G156-H156</f>
        <v>41461</v>
      </c>
      <c r="J156" s="23" t="s">
        <v>31</v>
      </c>
      <c r="K156" s="23">
        <v>16958</v>
      </c>
    </row>
    <row r="157">
      <c r="A157" s="25">
        <v>2017</v>
      </c>
      <c r="B157" t="s">
        <v>164</v>
      </c>
      <c r="C157" t="s">
        <v>165</v>
      </c>
      <c r="D157">
        <v>4302</v>
      </c>
      <c r="E157" t="s">
        <v>13</v>
      </c>
      <c r="F157">
        <v>79463</v>
      </c>
      <c r="G157">
        <v>42408</v>
      </c>
      <c r="H157">
        <v>947</v>
      </c>
      <c r="I157" s="30">
        <f>G157-H157</f>
        <v>41461</v>
      </c>
      <c r="J157" t="s">
        <v>30</v>
      </c>
      <c r="K157">
        <v>11382</v>
      </c>
    </row>
    <row r="158">
      <c r="A158" s="25">
        <v>2017</v>
      </c>
      <c r="B158" t="s">
        <v>164</v>
      </c>
      <c r="C158" t="s">
        <v>165</v>
      </c>
      <c r="D158">
        <v>4302</v>
      </c>
      <c r="E158" t="s">
        <v>13</v>
      </c>
      <c r="F158">
        <v>79463</v>
      </c>
      <c r="G158">
        <v>42408</v>
      </c>
      <c r="H158">
        <v>947</v>
      </c>
      <c r="I158" s="30">
        <f>G158-H158</f>
        <v>41461</v>
      </c>
      <c r="J158" t="s">
        <v>32</v>
      </c>
      <c r="K158">
        <v>4759</v>
      </c>
    </row>
    <row r="159">
      <c r="A159" s="25">
        <v>2017</v>
      </c>
      <c r="B159" t="s">
        <v>164</v>
      </c>
      <c r="C159" t="s">
        <v>165</v>
      </c>
      <c r="D159">
        <v>4302</v>
      </c>
      <c r="E159" t="s">
        <v>13</v>
      </c>
      <c r="F159">
        <v>79463</v>
      </c>
      <c r="G159">
        <v>42408</v>
      </c>
      <c r="H159">
        <v>947</v>
      </c>
      <c r="I159" s="30">
        <f>G159-H159</f>
        <v>41461</v>
      </c>
      <c r="J159" t="s">
        <v>20</v>
      </c>
      <c r="K159">
        <v>3437</v>
      </c>
    </row>
    <row r="160">
      <c r="A160" s="25">
        <v>2017</v>
      </c>
      <c r="B160" t="s">
        <v>164</v>
      </c>
      <c r="C160" t="s">
        <v>165</v>
      </c>
      <c r="D160">
        <v>4302</v>
      </c>
      <c r="E160" t="s">
        <v>13</v>
      </c>
      <c r="F160">
        <v>79463</v>
      </c>
      <c r="G160">
        <v>42408</v>
      </c>
      <c r="H160">
        <v>947</v>
      </c>
      <c r="I160" s="30">
        <f>G160-H160</f>
        <v>41461</v>
      </c>
      <c r="J160" t="s">
        <v>33</v>
      </c>
      <c r="K160">
        <v>1625</v>
      </c>
    </row>
    <row r="161">
      <c r="A161" s="25">
        <v>2017</v>
      </c>
      <c r="B161" t="s">
        <v>164</v>
      </c>
      <c r="C161" t="s">
        <v>165</v>
      </c>
      <c r="D161">
        <v>4302</v>
      </c>
      <c r="E161" t="s">
        <v>13</v>
      </c>
      <c r="F161">
        <v>79463</v>
      </c>
      <c r="G161">
        <v>42408</v>
      </c>
      <c r="H161">
        <v>947</v>
      </c>
      <c r="I161" s="30">
        <f>G161-H161</f>
        <v>41461</v>
      </c>
      <c r="J161" t="s">
        <v>14</v>
      </c>
      <c r="K161">
        <v>1323</v>
      </c>
    </row>
    <row r="162">
      <c r="A162" s="25">
        <v>2017</v>
      </c>
      <c r="B162" t="s">
        <v>164</v>
      </c>
      <c r="C162" t="s">
        <v>165</v>
      </c>
      <c r="D162">
        <v>4302</v>
      </c>
      <c r="E162" t="s">
        <v>13</v>
      </c>
      <c r="F162">
        <v>79463</v>
      </c>
      <c r="G162">
        <v>42408</v>
      </c>
      <c r="H162">
        <v>947</v>
      </c>
      <c r="I162" s="30">
        <f>G162-H162</f>
        <v>41461</v>
      </c>
      <c r="J162" t="s">
        <v>40</v>
      </c>
      <c r="K162">
        <v>785</v>
      </c>
    </row>
    <row r="163">
      <c r="A163" s="25">
        <v>2017</v>
      </c>
      <c r="B163" t="s">
        <v>164</v>
      </c>
      <c r="C163" t="s">
        <v>165</v>
      </c>
      <c r="D163">
        <v>4302</v>
      </c>
      <c r="E163" t="s">
        <v>13</v>
      </c>
      <c r="F163">
        <v>79463</v>
      </c>
      <c r="G163">
        <v>42408</v>
      </c>
      <c r="H163">
        <v>947</v>
      </c>
      <c r="I163" s="30">
        <f>G163-H163</f>
        <v>41461</v>
      </c>
      <c r="J163" t="s">
        <v>26</v>
      </c>
      <c r="K163">
        <v>414</v>
      </c>
    </row>
    <row r="164">
      <c r="A164" s="25">
        <v>2017</v>
      </c>
      <c r="B164" t="s">
        <v>164</v>
      </c>
      <c r="C164" t="s">
        <v>165</v>
      </c>
      <c r="D164">
        <v>4302</v>
      </c>
      <c r="E164" t="s">
        <v>13</v>
      </c>
      <c r="F164">
        <v>79463</v>
      </c>
      <c r="G164">
        <v>42408</v>
      </c>
      <c r="H164">
        <v>947</v>
      </c>
      <c r="I164" s="30">
        <f>G164-H164</f>
        <v>41461</v>
      </c>
      <c r="J164" t="s">
        <v>49</v>
      </c>
      <c r="K164">
        <v>312</v>
      </c>
    </row>
    <row r="165">
      <c r="A165" s="25">
        <v>2017</v>
      </c>
      <c r="B165" t="s">
        <v>164</v>
      </c>
      <c r="C165" t="s">
        <v>165</v>
      </c>
      <c r="D165">
        <v>4302</v>
      </c>
      <c r="E165" t="s">
        <v>13</v>
      </c>
      <c r="F165">
        <v>79463</v>
      </c>
      <c r="G165">
        <v>42408</v>
      </c>
      <c r="H165">
        <v>947</v>
      </c>
      <c r="I165" s="30">
        <f>G165-H165</f>
        <v>41461</v>
      </c>
      <c r="J165" t="s">
        <v>35</v>
      </c>
      <c r="K165">
        <v>253</v>
      </c>
    </row>
    <row r="166">
      <c r="A166" s="27">
        <v>2017</v>
      </c>
      <c r="B166" s="28" t="s">
        <v>164</v>
      </c>
      <c r="C166" t="s">
        <v>165</v>
      </c>
      <c r="D166" s="28">
        <v>4302</v>
      </c>
      <c r="E166" s="28" t="s">
        <v>13</v>
      </c>
      <c r="F166" s="28">
        <v>79463</v>
      </c>
      <c r="G166" s="28">
        <v>42408</v>
      </c>
      <c r="H166" s="28">
        <v>947</v>
      </c>
      <c r="I166" s="32">
        <f>G166-H166</f>
        <v>41461</v>
      </c>
      <c r="J166" s="28" t="s">
        <v>23</v>
      </c>
      <c r="K166" s="28">
        <v>213</v>
      </c>
    </row>
    <row r="167">
      <c r="A167" s="22">
        <v>2017</v>
      </c>
      <c r="B167" s="23" t="s">
        <v>164</v>
      </c>
      <c r="C167" s="23" t="s">
        <v>165</v>
      </c>
      <c r="D167" s="23">
        <v>4302</v>
      </c>
      <c r="E167" s="23" t="s">
        <v>19</v>
      </c>
      <c r="F167" s="23">
        <v>79462</v>
      </c>
      <c r="G167" s="23">
        <v>38539</v>
      </c>
      <c r="H167" s="23">
        <v>3627</v>
      </c>
      <c r="I167" s="31">
        <f>G167-H167</f>
        <v>34912</v>
      </c>
      <c r="J167" s="23" t="s">
        <v>31</v>
      </c>
      <c r="K167" s="23">
        <v>22306</v>
      </c>
    </row>
    <row r="168">
      <c r="A168" s="27">
        <v>2017</v>
      </c>
      <c r="B168" s="28" t="s">
        <v>164</v>
      </c>
      <c r="C168" s="28" t="s">
        <v>165</v>
      </c>
      <c r="D168" s="28">
        <v>4302</v>
      </c>
      <c r="E168" s="28" t="s">
        <v>19</v>
      </c>
      <c r="F168" s="28">
        <v>79462</v>
      </c>
      <c r="G168" s="28">
        <v>38539</v>
      </c>
      <c r="H168" s="28">
        <v>3627</v>
      </c>
      <c r="I168" s="32">
        <f>G168-H168</f>
        <v>34912</v>
      </c>
      <c r="J168" s="28" t="s">
        <v>30</v>
      </c>
      <c r="K168" s="28">
        <v>12606</v>
      </c>
    </row>
    <row r="169">
      <c r="A169" s="22">
        <v>2022</v>
      </c>
      <c r="B169" s="23" t="s">
        <v>10</v>
      </c>
      <c r="C169" s="23" t="s">
        <v>12</v>
      </c>
      <c r="D169" s="23" t="s">
        <v>11</v>
      </c>
      <c r="E169" s="23" t="s">
        <v>13</v>
      </c>
      <c r="F169" s="23">
        <v>48747876</v>
      </c>
      <c r="G169" s="23">
        <v>35923707</v>
      </c>
      <c r="H169" s="23">
        <f>543609+247151</f>
        <v>790760</v>
      </c>
      <c r="I169" s="31">
        <f>G169-H169</f>
        <v>35132947</v>
      </c>
      <c r="J169" s="23" t="s">
        <v>36</v>
      </c>
      <c r="K169" s="23">
        <v>9783058</v>
      </c>
    </row>
    <row r="170">
      <c r="A170" s="25">
        <v>2022</v>
      </c>
      <c r="B170" t="s">
        <v>10</v>
      </c>
      <c r="C170" t="s">
        <v>12</v>
      </c>
      <c r="D170" t="s">
        <v>11</v>
      </c>
      <c r="E170" t="s">
        <v>13</v>
      </c>
      <c r="F170">
        <v>48747876</v>
      </c>
      <c r="G170">
        <v>35923707</v>
      </c>
      <c r="H170">
        <f>543609+247151</f>
        <v>790760</v>
      </c>
      <c r="I170" s="30">
        <f>G170-H170</f>
        <v>35132947</v>
      </c>
      <c r="J170" t="s">
        <v>37</v>
      </c>
      <c r="K170">
        <v>8133828</v>
      </c>
    </row>
    <row r="171">
      <c r="A171" s="25">
        <v>2022</v>
      </c>
      <c r="B171" t="s">
        <v>10</v>
      </c>
      <c r="C171" t="s">
        <v>12</v>
      </c>
      <c r="D171" t="s">
        <v>11</v>
      </c>
      <c r="E171" t="s">
        <v>13</v>
      </c>
      <c r="F171">
        <v>48747876</v>
      </c>
      <c r="G171">
        <v>35923707</v>
      </c>
      <c r="H171">
        <f>543609+247151</f>
        <v>790760</v>
      </c>
      <c r="I171" s="30">
        <f>G171-H171</f>
        <v>35132947</v>
      </c>
      <c r="J171" t="s">
        <v>38</v>
      </c>
      <c r="K171">
        <v>7712520</v>
      </c>
    </row>
    <row r="172">
      <c r="A172" s="25">
        <v>2022</v>
      </c>
      <c r="B172" t="s">
        <v>10</v>
      </c>
      <c r="C172" t="s">
        <v>12</v>
      </c>
      <c r="D172" t="s">
        <v>11</v>
      </c>
      <c r="E172" t="s">
        <v>13</v>
      </c>
      <c r="F172">
        <v>48747876</v>
      </c>
      <c r="G172">
        <v>35923707</v>
      </c>
      <c r="H172">
        <f>543609+247151</f>
        <v>790760</v>
      </c>
      <c r="I172" s="30">
        <f>G172-H172</f>
        <v>35132947</v>
      </c>
      <c r="J172" t="s">
        <v>39</v>
      </c>
      <c r="K172">
        <v>2485226</v>
      </c>
    </row>
    <row r="173">
      <c r="A173" s="25">
        <v>2022</v>
      </c>
      <c r="B173" t="s">
        <v>10</v>
      </c>
      <c r="C173" t="s">
        <v>12</v>
      </c>
      <c r="D173" t="s">
        <v>11</v>
      </c>
      <c r="E173" t="s">
        <v>13</v>
      </c>
      <c r="F173">
        <v>48747876</v>
      </c>
      <c r="G173">
        <v>35923707</v>
      </c>
      <c r="H173">
        <f>543609+247151</f>
        <v>790760</v>
      </c>
      <c r="I173" s="30">
        <f>G173-H173</f>
        <v>35132947</v>
      </c>
      <c r="J173" t="s">
        <v>31</v>
      </c>
      <c r="K173">
        <v>1679001</v>
      </c>
    </row>
    <row r="174">
      <c r="A174" s="25">
        <v>2022</v>
      </c>
      <c r="B174" t="s">
        <v>10</v>
      </c>
      <c r="C174" t="s">
        <v>12</v>
      </c>
      <c r="D174" t="s">
        <v>11</v>
      </c>
      <c r="E174" t="s">
        <v>13</v>
      </c>
      <c r="F174">
        <v>48747876</v>
      </c>
      <c r="G174">
        <v>35923707</v>
      </c>
      <c r="H174">
        <f>543609+247151</f>
        <v>790760</v>
      </c>
      <c r="I174" s="30">
        <f>G174-H174</f>
        <v>35132947</v>
      </c>
      <c r="J174" t="s">
        <v>14</v>
      </c>
      <c r="K174">
        <v>1627853</v>
      </c>
    </row>
    <row r="175">
      <c r="A175" s="25">
        <v>2022</v>
      </c>
      <c r="B175" t="s">
        <v>10</v>
      </c>
      <c r="C175" t="s">
        <v>12</v>
      </c>
      <c r="D175" t="s">
        <v>11</v>
      </c>
      <c r="E175" t="s">
        <v>13</v>
      </c>
      <c r="F175">
        <v>48747876</v>
      </c>
      <c r="G175">
        <v>35923707</v>
      </c>
      <c r="H175">
        <f>543609+247151</f>
        <v>790760</v>
      </c>
      <c r="I175" s="30">
        <f>G175-H175</f>
        <v>35132947</v>
      </c>
      <c r="J175" t="s">
        <v>35</v>
      </c>
      <c r="K175">
        <v>1101387</v>
      </c>
    </row>
    <row r="176">
      <c r="A176" s="25">
        <v>2022</v>
      </c>
      <c r="B176" t="s">
        <v>10</v>
      </c>
      <c r="C176" t="s">
        <v>12</v>
      </c>
      <c r="D176" t="s">
        <v>11</v>
      </c>
      <c r="E176" t="s">
        <v>13</v>
      </c>
      <c r="F176">
        <v>48747876</v>
      </c>
      <c r="G176">
        <v>35923707</v>
      </c>
      <c r="H176">
        <f>543609+247151</f>
        <v>790760</v>
      </c>
      <c r="I176" s="30">
        <f>G176-H176</f>
        <v>35132947</v>
      </c>
      <c r="J176" t="s">
        <v>40</v>
      </c>
      <c r="K176">
        <v>802422</v>
      </c>
    </row>
    <row r="177">
      <c r="A177" s="25">
        <v>2022</v>
      </c>
      <c r="B177" t="s">
        <v>10</v>
      </c>
      <c r="C177" t="s">
        <v>12</v>
      </c>
      <c r="D177" t="s">
        <v>11</v>
      </c>
      <c r="E177" t="s">
        <v>13</v>
      </c>
      <c r="F177">
        <v>48747876</v>
      </c>
      <c r="G177">
        <v>35923707</v>
      </c>
      <c r="H177">
        <f>543609+247151</f>
        <v>790760</v>
      </c>
      <c r="I177" s="30">
        <f>G177-H177</f>
        <v>35132947</v>
      </c>
      <c r="J177" t="s">
        <v>34</v>
      </c>
      <c r="K177">
        <v>725176</v>
      </c>
    </row>
    <row r="178">
      <c r="A178" s="25">
        <v>2022</v>
      </c>
      <c r="B178" t="s">
        <v>10</v>
      </c>
      <c r="C178" t="s">
        <v>12</v>
      </c>
      <c r="D178" t="s">
        <v>11</v>
      </c>
      <c r="E178" t="s">
        <v>13</v>
      </c>
      <c r="F178">
        <v>48747876</v>
      </c>
      <c r="G178">
        <v>35923707</v>
      </c>
      <c r="H178">
        <f>543609+247151</f>
        <v>790760</v>
      </c>
      <c r="I178" s="30">
        <f>G178-H178</f>
        <v>35132947</v>
      </c>
      <c r="J178" t="s">
        <v>33</v>
      </c>
      <c r="K178">
        <v>616478</v>
      </c>
    </row>
    <row r="179">
      <c r="A179" s="25">
        <v>2022</v>
      </c>
      <c r="B179" t="s">
        <v>10</v>
      </c>
      <c r="C179" t="s">
        <v>12</v>
      </c>
      <c r="D179" t="s">
        <v>11</v>
      </c>
      <c r="E179" t="s">
        <v>13</v>
      </c>
      <c r="F179">
        <v>48747876</v>
      </c>
      <c r="G179">
        <v>35923707</v>
      </c>
      <c r="H179">
        <f>543609+247151</f>
        <v>790760</v>
      </c>
      <c r="I179" s="30">
        <f>G179-H179</f>
        <v>35132947</v>
      </c>
      <c r="J179" t="s">
        <v>23</v>
      </c>
      <c r="K179">
        <v>268904</v>
      </c>
    </row>
    <row r="180">
      <c r="A180" s="27">
        <v>2022</v>
      </c>
      <c r="B180" s="28" t="s">
        <v>10</v>
      </c>
      <c r="C180" s="28" t="s">
        <v>12</v>
      </c>
      <c r="D180" s="28" t="s">
        <v>11</v>
      </c>
      <c r="E180" s="28" t="s">
        <v>13</v>
      </c>
      <c r="F180" s="28">
        <v>48747876</v>
      </c>
      <c r="G180" s="28">
        <v>35923707</v>
      </c>
      <c r="H180" s="28">
        <f>543609+247151</f>
        <v>790760</v>
      </c>
      <c r="I180" s="32">
        <f>G180-H180</f>
        <v>35132947</v>
      </c>
      <c r="J180" s="28" t="s">
        <v>23</v>
      </c>
      <c r="K180" s="28">
        <v>197094</v>
      </c>
    </row>
    <row r="181">
      <c r="A181" s="22">
        <v>2022</v>
      </c>
      <c r="B181" s="23" t="s">
        <v>10</v>
      </c>
      <c r="C181" s="23" t="s">
        <v>12</v>
      </c>
      <c r="D181" s="23" t="s">
        <v>11</v>
      </c>
      <c r="E181" s="23" t="s">
        <v>19</v>
      </c>
      <c r="F181" s="23">
        <v>48752339</v>
      </c>
      <c r="G181" s="23">
        <v>35096478</v>
      </c>
      <c r="H181" s="23">
        <f>2233904+2233904</f>
        <v>4467808</v>
      </c>
      <c r="I181" s="31">
        <f>G181-H181</f>
        <v>30628670</v>
      </c>
      <c r="J181" s="23" t="s">
        <v>36</v>
      </c>
      <c r="K181" s="23">
        <v>18768639</v>
      </c>
    </row>
    <row r="182">
      <c r="A182" s="27">
        <v>2022</v>
      </c>
      <c r="B182" s="28" t="s">
        <v>10</v>
      </c>
      <c r="C182" s="28" t="s">
        <v>12</v>
      </c>
      <c r="D182" s="28" t="s">
        <v>11</v>
      </c>
      <c r="E182" s="28" t="s">
        <v>19</v>
      </c>
      <c r="F182" s="28">
        <v>48752339</v>
      </c>
      <c r="G182" s="28">
        <v>35096478</v>
      </c>
      <c r="H182" s="28">
        <f>2233904+2233904</f>
        <v>4467808</v>
      </c>
      <c r="I182" s="32">
        <f>G182-H182</f>
        <v>30628670</v>
      </c>
      <c r="J182" s="28" t="s">
        <v>37</v>
      </c>
      <c r="K182" s="28">
        <v>13288686</v>
      </c>
    </row>
    <row r="183">
      <c r="A183" s="22">
        <v>2022</v>
      </c>
      <c r="B183" s="23" t="s">
        <v>10</v>
      </c>
      <c r="C183" s="23" t="s">
        <v>163</v>
      </c>
      <c r="D183" s="23">
        <v>43</v>
      </c>
      <c r="E183" s="23" t="s">
        <v>13</v>
      </c>
      <c r="F183" s="23">
        <v>180706</v>
      </c>
      <c r="G183" s="23">
        <v>143706</v>
      </c>
      <c r="H183" s="23">
        <f>2837+1214</f>
        <v>4051</v>
      </c>
      <c r="I183" s="31">
        <f>G183-H183</f>
        <v>139655</v>
      </c>
      <c r="J183" s="23" t="s">
        <v>37</v>
      </c>
      <c r="K183" s="23">
        <v>38629</v>
      </c>
    </row>
    <row r="184">
      <c r="A184" s="25">
        <v>2022</v>
      </c>
      <c r="B184" t="s">
        <v>10</v>
      </c>
      <c r="C184" t="s">
        <v>163</v>
      </c>
      <c r="D184">
        <v>43</v>
      </c>
      <c r="E184" t="s">
        <v>13</v>
      </c>
      <c r="F184">
        <v>180706</v>
      </c>
      <c r="G184">
        <v>143706</v>
      </c>
      <c r="H184">
        <f>2837+1214</f>
        <v>4051</v>
      </c>
      <c r="I184" s="30">
        <f>G184-H184</f>
        <v>139655</v>
      </c>
      <c r="J184" t="s">
        <v>36</v>
      </c>
      <c r="K184">
        <v>32417</v>
      </c>
    </row>
    <row r="185">
      <c r="A185" s="25">
        <v>2022</v>
      </c>
      <c r="B185" t="s">
        <v>10</v>
      </c>
      <c r="C185" t="s">
        <v>163</v>
      </c>
      <c r="D185">
        <v>43</v>
      </c>
      <c r="E185" t="s">
        <v>13</v>
      </c>
      <c r="F185">
        <v>180706</v>
      </c>
      <c r="G185">
        <v>143706</v>
      </c>
      <c r="H185">
        <f>2837+1214</f>
        <v>4051</v>
      </c>
      <c r="I185" s="30">
        <f>G185-H185</f>
        <v>139655</v>
      </c>
      <c r="J185" t="s">
        <v>38</v>
      </c>
      <c r="K185">
        <v>24332</v>
      </c>
    </row>
    <row r="186">
      <c r="A186" s="25">
        <v>2022</v>
      </c>
      <c r="B186" t="s">
        <v>10</v>
      </c>
      <c r="C186" t="s">
        <v>163</v>
      </c>
      <c r="D186">
        <v>43</v>
      </c>
      <c r="E186" t="s">
        <v>13</v>
      </c>
      <c r="F186">
        <v>180706</v>
      </c>
      <c r="G186">
        <v>143706</v>
      </c>
      <c r="H186">
        <f>2837+1214</f>
        <v>4051</v>
      </c>
      <c r="I186" s="30">
        <f>G186-H186</f>
        <v>139655</v>
      </c>
      <c r="J186" t="s">
        <v>31</v>
      </c>
      <c r="K186">
        <v>9560</v>
      </c>
    </row>
    <row r="187">
      <c r="A187" s="25">
        <v>2022</v>
      </c>
      <c r="B187" t="s">
        <v>10</v>
      </c>
      <c r="C187" t="s">
        <v>163</v>
      </c>
      <c r="D187">
        <v>43</v>
      </c>
      <c r="E187" t="s">
        <v>13</v>
      </c>
      <c r="F187">
        <v>180706</v>
      </c>
      <c r="G187">
        <v>143706</v>
      </c>
      <c r="H187">
        <f>2837+1214</f>
        <v>4051</v>
      </c>
      <c r="I187" s="30">
        <f>G187-H187</f>
        <v>139655</v>
      </c>
      <c r="J187" t="s">
        <v>39</v>
      </c>
      <c r="K187">
        <v>9529</v>
      </c>
    </row>
    <row r="188">
      <c r="A188" s="25">
        <v>2022</v>
      </c>
      <c r="B188" t="s">
        <v>10</v>
      </c>
      <c r="C188" t="s">
        <v>163</v>
      </c>
      <c r="D188">
        <v>43</v>
      </c>
      <c r="E188" t="s">
        <v>13</v>
      </c>
      <c r="F188">
        <v>180706</v>
      </c>
      <c r="G188">
        <v>143706</v>
      </c>
      <c r="H188">
        <f>2837+1214</f>
        <v>4051</v>
      </c>
      <c r="I188" s="30">
        <f>G188-H188</f>
        <v>139655</v>
      </c>
      <c r="J188" t="s">
        <v>35</v>
      </c>
      <c r="K188">
        <v>7817</v>
      </c>
    </row>
    <row r="189">
      <c r="A189" s="25">
        <v>2022</v>
      </c>
      <c r="B189" t="s">
        <v>10</v>
      </c>
      <c r="C189" t="s">
        <v>163</v>
      </c>
      <c r="D189">
        <v>43</v>
      </c>
      <c r="E189" t="s">
        <v>13</v>
      </c>
      <c r="F189">
        <v>180706</v>
      </c>
      <c r="G189">
        <v>143706</v>
      </c>
      <c r="H189">
        <f>2837+1214</f>
        <v>4051</v>
      </c>
      <c r="I189" s="30">
        <f>G189-H189</f>
        <v>139655</v>
      </c>
      <c r="J189" t="s">
        <v>14</v>
      </c>
      <c r="K189">
        <v>5796</v>
      </c>
    </row>
    <row r="190">
      <c r="A190" s="25">
        <v>2022</v>
      </c>
      <c r="B190" t="s">
        <v>10</v>
      </c>
      <c r="C190" t="s">
        <v>163</v>
      </c>
      <c r="D190">
        <v>43</v>
      </c>
      <c r="E190" t="s">
        <v>13</v>
      </c>
      <c r="F190">
        <v>180706</v>
      </c>
      <c r="G190">
        <v>143706</v>
      </c>
      <c r="H190">
        <f>2837+1214</f>
        <v>4051</v>
      </c>
      <c r="I190" s="30">
        <f>G190-H190</f>
        <v>139655</v>
      </c>
      <c r="J190" t="s">
        <v>40</v>
      </c>
      <c r="K190">
        <v>3493</v>
      </c>
    </row>
    <row r="191">
      <c r="A191" s="25">
        <v>2022</v>
      </c>
      <c r="B191" t="s">
        <v>10</v>
      </c>
      <c r="C191" t="s">
        <v>163</v>
      </c>
      <c r="D191">
        <v>43</v>
      </c>
      <c r="E191" t="s">
        <v>13</v>
      </c>
      <c r="F191">
        <v>180706</v>
      </c>
      <c r="G191">
        <v>143706</v>
      </c>
      <c r="H191">
        <f>2837+1214</f>
        <v>4051</v>
      </c>
      <c r="I191" s="30">
        <f>G191-H191</f>
        <v>139655</v>
      </c>
      <c r="J191" t="s">
        <v>34</v>
      </c>
      <c r="K191">
        <v>3366</v>
      </c>
    </row>
    <row r="192">
      <c r="A192" s="25">
        <v>2022</v>
      </c>
      <c r="B192" t="s">
        <v>10</v>
      </c>
      <c r="C192" t="s">
        <v>163</v>
      </c>
      <c r="D192">
        <v>43</v>
      </c>
      <c r="E192" t="s">
        <v>13</v>
      </c>
      <c r="F192">
        <v>180706</v>
      </c>
      <c r="G192">
        <v>143706</v>
      </c>
      <c r="H192">
        <f>2837+1214</f>
        <v>4051</v>
      </c>
      <c r="I192" s="30">
        <f>G192-H192</f>
        <v>139655</v>
      </c>
      <c r="J192" t="s">
        <v>33</v>
      </c>
      <c r="K192">
        <v>2491</v>
      </c>
    </row>
    <row r="193">
      <c r="A193" s="25">
        <v>2022</v>
      </c>
      <c r="B193" t="s">
        <v>10</v>
      </c>
      <c r="C193" t="s">
        <v>163</v>
      </c>
      <c r="D193">
        <v>43</v>
      </c>
      <c r="E193" t="s">
        <v>13</v>
      </c>
      <c r="F193">
        <v>180706</v>
      </c>
      <c r="G193">
        <v>143706</v>
      </c>
      <c r="H193">
        <f>2837+1214</f>
        <v>4051</v>
      </c>
      <c r="I193" s="30">
        <f>G193-H193</f>
        <v>139655</v>
      </c>
      <c r="J193" t="s">
        <v>23</v>
      </c>
      <c r="K193">
        <v>1205</v>
      </c>
    </row>
    <row r="194">
      <c r="A194" s="27">
        <v>2022</v>
      </c>
      <c r="B194" s="28" t="s">
        <v>10</v>
      </c>
      <c r="C194" s="28" t="s">
        <v>163</v>
      </c>
      <c r="D194" s="28">
        <v>43</v>
      </c>
      <c r="E194" s="28" t="s">
        <v>13</v>
      </c>
      <c r="F194" s="28">
        <v>180706</v>
      </c>
      <c r="G194" s="28">
        <v>143706</v>
      </c>
      <c r="H194" s="28">
        <f>2837+1214</f>
        <v>4051</v>
      </c>
      <c r="I194" s="32">
        <f>G194-H194</f>
        <v>139655</v>
      </c>
      <c r="J194" s="28" t="s">
        <v>23</v>
      </c>
      <c r="K194" s="28">
        <v>1020</v>
      </c>
    </row>
    <row r="195">
      <c r="A195" s="22">
        <v>2022</v>
      </c>
      <c r="B195" s="23" t="s">
        <v>10</v>
      </c>
      <c r="C195" s="23" t="s">
        <v>163</v>
      </c>
      <c r="D195" s="23">
        <v>43</v>
      </c>
      <c r="E195" s="23" t="s">
        <v>19</v>
      </c>
      <c r="F195" s="23">
        <v>180716</v>
      </c>
      <c r="G195" s="23">
        <v>139577</v>
      </c>
      <c r="H195" s="23">
        <f>10937+4288</f>
        <v>15225</v>
      </c>
      <c r="I195" s="31">
        <f>G195-H195</f>
        <v>124352</v>
      </c>
      <c r="J195" s="23" t="s">
        <v>36</v>
      </c>
      <c r="K195" s="23">
        <v>62372</v>
      </c>
    </row>
    <row r="196">
      <c r="A196" s="27">
        <v>2022</v>
      </c>
      <c r="B196" s="28" t="s">
        <v>10</v>
      </c>
      <c r="C196" s="28" t="s">
        <v>163</v>
      </c>
      <c r="D196" s="28">
        <v>43</v>
      </c>
      <c r="E196" s="28" t="s">
        <v>19</v>
      </c>
      <c r="F196" s="28">
        <v>180716</v>
      </c>
      <c r="G196" s="28">
        <v>139577</v>
      </c>
      <c r="H196" s="28">
        <f>10937+4288</f>
        <v>15225</v>
      </c>
      <c r="I196" s="32">
        <f>G196-H196</f>
        <v>124352</v>
      </c>
      <c r="J196" s="28" t="s">
        <v>37</v>
      </c>
      <c r="K196" s="28">
        <v>61980</v>
      </c>
    </row>
    <row r="197">
      <c r="A197" s="22">
        <v>2022</v>
      </c>
      <c r="B197" s="23" t="s">
        <v>164</v>
      </c>
      <c r="C197" s="23" t="s">
        <v>12</v>
      </c>
      <c r="D197" s="23" t="s">
        <v>11</v>
      </c>
      <c r="E197" s="23" t="s">
        <v>13</v>
      </c>
      <c r="F197" s="23">
        <v>48953748</v>
      </c>
      <c r="G197" s="23">
        <v>23256207</v>
      </c>
      <c r="H197" s="23">
        <f>362193+149306</f>
        <v>511499</v>
      </c>
      <c r="I197" s="31">
        <f>G197-H197</f>
        <v>22744708</v>
      </c>
      <c r="J197" s="23" t="s">
        <v>98</v>
      </c>
      <c r="K197" s="23">
        <v>266412</v>
      </c>
    </row>
    <row r="198">
      <c r="A198" s="25">
        <v>2022</v>
      </c>
      <c r="B198" t="s">
        <v>164</v>
      </c>
      <c r="C198" t="s">
        <v>12</v>
      </c>
      <c r="D198" t="s">
        <v>11</v>
      </c>
      <c r="E198" t="s">
        <v>13</v>
      </c>
      <c r="F198">
        <v>48953748</v>
      </c>
      <c r="G198">
        <v>23256207</v>
      </c>
      <c r="H198">
        <f>362193+149306</f>
        <v>511499</v>
      </c>
      <c r="I198" s="30">
        <f>G198-H198</f>
        <v>22744708</v>
      </c>
      <c r="J198" t="s">
        <v>50</v>
      </c>
      <c r="K198">
        <v>126689</v>
      </c>
    </row>
    <row r="199">
      <c r="A199" s="25">
        <v>2022</v>
      </c>
      <c r="B199" t="s">
        <v>164</v>
      </c>
      <c r="C199" t="s">
        <v>12</v>
      </c>
      <c r="D199" t="s">
        <v>11</v>
      </c>
      <c r="E199" t="s">
        <v>13</v>
      </c>
      <c r="F199">
        <v>48953748</v>
      </c>
      <c r="G199">
        <v>23256207</v>
      </c>
      <c r="H199">
        <f>362193+149306</f>
        <v>511499</v>
      </c>
      <c r="I199" s="30">
        <f>G199-H199</f>
        <v>22744708</v>
      </c>
      <c r="J199" t="s">
        <v>99</v>
      </c>
      <c r="K199">
        <v>5836079</v>
      </c>
    </row>
    <row r="200">
      <c r="A200" s="25">
        <v>2022</v>
      </c>
      <c r="B200" t="s">
        <v>164</v>
      </c>
      <c r="C200" t="s">
        <v>12</v>
      </c>
      <c r="D200" t="s">
        <v>11</v>
      </c>
      <c r="E200" t="s">
        <v>13</v>
      </c>
      <c r="F200">
        <v>48953748</v>
      </c>
      <c r="G200">
        <v>23256207</v>
      </c>
      <c r="H200">
        <f>362193+149306</f>
        <v>511499</v>
      </c>
      <c r="I200" s="30">
        <f>G200-H200</f>
        <v>22744708</v>
      </c>
      <c r="J200" t="s">
        <v>43</v>
      </c>
      <c r="K200">
        <v>713574</v>
      </c>
    </row>
    <row r="201">
      <c r="A201" s="25">
        <v>2022</v>
      </c>
      <c r="B201" t="s">
        <v>164</v>
      </c>
      <c r="C201" t="s">
        <v>12</v>
      </c>
      <c r="D201" t="s">
        <v>11</v>
      </c>
      <c r="E201" t="s">
        <v>13</v>
      </c>
      <c r="F201">
        <v>48953748</v>
      </c>
      <c r="G201">
        <v>23256207</v>
      </c>
      <c r="H201">
        <f>362193+149306</f>
        <v>511499</v>
      </c>
      <c r="I201" s="30">
        <f>G201-H201</f>
        <v>22744708</v>
      </c>
      <c r="J201" t="s">
        <v>14</v>
      </c>
      <c r="K201">
        <v>608314</v>
      </c>
    </row>
    <row r="202">
      <c r="A202" s="25">
        <v>2022</v>
      </c>
      <c r="B202" t="s">
        <v>164</v>
      </c>
      <c r="C202" t="s">
        <v>12</v>
      </c>
      <c r="D202" t="s">
        <v>11</v>
      </c>
      <c r="E202" t="s">
        <v>13</v>
      </c>
      <c r="F202">
        <v>48953748</v>
      </c>
      <c r="G202">
        <v>23256207</v>
      </c>
      <c r="H202">
        <f>362193+149306</f>
        <v>511499</v>
      </c>
      <c r="I202" s="30">
        <f>G202-H202</f>
        <v>22744708</v>
      </c>
      <c r="J202" t="s">
        <v>35</v>
      </c>
      <c r="K202">
        <v>192624</v>
      </c>
    </row>
    <row r="203">
      <c r="A203" s="25">
        <v>2022</v>
      </c>
      <c r="B203" t="s">
        <v>164</v>
      </c>
      <c r="C203" t="s">
        <v>12</v>
      </c>
      <c r="D203" t="s">
        <v>11</v>
      </c>
      <c r="E203" t="s">
        <v>13</v>
      </c>
      <c r="F203">
        <v>48953748</v>
      </c>
      <c r="G203">
        <v>23256207</v>
      </c>
      <c r="H203">
        <f>362193+149306</f>
        <v>511499</v>
      </c>
      <c r="I203" s="30">
        <f>G203-H203</f>
        <v>22744708</v>
      </c>
      <c r="J203" t="s">
        <v>45</v>
      </c>
      <c r="K203">
        <v>291384</v>
      </c>
    </row>
    <row r="204">
      <c r="A204" s="25">
        <v>2022</v>
      </c>
      <c r="B204" t="s">
        <v>164</v>
      </c>
      <c r="C204" t="s">
        <v>12</v>
      </c>
      <c r="D204" t="s">
        <v>11</v>
      </c>
      <c r="E204" t="s">
        <v>13</v>
      </c>
      <c r="F204">
        <v>48953748</v>
      </c>
      <c r="G204">
        <v>23256207</v>
      </c>
      <c r="H204">
        <f>362193+149306</f>
        <v>511499</v>
      </c>
      <c r="I204" s="30">
        <f>G204-H204</f>
        <v>22744708</v>
      </c>
      <c r="J204" t="s">
        <v>36</v>
      </c>
      <c r="K204">
        <v>5857364</v>
      </c>
    </row>
    <row r="205">
      <c r="A205" s="25">
        <v>2022</v>
      </c>
      <c r="B205" t="s">
        <v>164</v>
      </c>
      <c r="C205" t="s">
        <v>12</v>
      </c>
      <c r="D205" t="s">
        <v>11</v>
      </c>
      <c r="E205" t="s">
        <v>13</v>
      </c>
      <c r="F205">
        <v>48953748</v>
      </c>
      <c r="G205">
        <v>23256207</v>
      </c>
      <c r="H205">
        <f>362193+149306</f>
        <v>511499</v>
      </c>
      <c r="I205" s="30">
        <f>G205-H205</f>
        <v>22744708</v>
      </c>
      <c r="J205" t="s">
        <v>44</v>
      </c>
      <c r="K205">
        <v>283612</v>
      </c>
    </row>
    <row r="206">
      <c r="A206" s="25">
        <v>2022</v>
      </c>
      <c r="B206" t="s">
        <v>164</v>
      </c>
      <c r="C206" t="s">
        <v>12</v>
      </c>
      <c r="D206" t="s">
        <v>11</v>
      </c>
      <c r="E206" t="s">
        <v>13</v>
      </c>
      <c r="F206">
        <v>48953748</v>
      </c>
      <c r="G206">
        <v>23256207</v>
      </c>
      <c r="H206">
        <f>362193+149306</f>
        <v>511499</v>
      </c>
      <c r="I206" s="30">
        <f>G206-H206</f>
        <v>22744708</v>
      </c>
      <c r="J206" t="s">
        <v>47</v>
      </c>
      <c r="K206">
        <v>198062</v>
      </c>
    </row>
    <row r="207">
      <c r="A207" s="25">
        <v>2022</v>
      </c>
      <c r="B207" t="s">
        <v>164</v>
      </c>
      <c r="C207" t="s">
        <v>12</v>
      </c>
      <c r="D207" t="s">
        <v>11</v>
      </c>
      <c r="E207" t="s">
        <v>13</v>
      </c>
      <c r="F207">
        <v>48953748</v>
      </c>
      <c r="G207">
        <v>23256207</v>
      </c>
      <c r="H207">
        <f>362193+149306</f>
        <v>511499</v>
      </c>
      <c r="I207" s="30">
        <f>G207-H207</f>
        <v>22744708</v>
      </c>
      <c r="J207" t="s">
        <v>31</v>
      </c>
      <c r="K207">
        <v>2370440</v>
      </c>
    </row>
    <row r="208">
      <c r="A208" s="25">
        <v>2022</v>
      </c>
      <c r="B208" t="s">
        <v>164</v>
      </c>
      <c r="C208" t="s">
        <v>12</v>
      </c>
      <c r="D208" t="s">
        <v>11</v>
      </c>
      <c r="E208" t="s">
        <v>13</v>
      </c>
      <c r="F208">
        <v>48953748</v>
      </c>
      <c r="G208">
        <v>23256207</v>
      </c>
      <c r="H208">
        <f>362193+149306</f>
        <v>511499</v>
      </c>
      <c r="I208" s="30">
        <f>G208-H208</f>
        <v>22744708</v>
      </c>
      <c r="J208" t="s">
        <v>26</v>
      </c>
      <c r="K208">
        <v>530782</v>
      </c>
    </row>
    <row r="209">
      <c r="A209" s="25">
        <v>2022</v>
      </c>
      <c r="B209" t="s">
        <v>164</v>
      </c>
      <c r="C209" t="s">
        <v>12</v>
      </c>
      <c r="D209" t="s">
        <v>11</v>
      </c>
      <c r="E209" t="s">
        <v>13</v>
      </c>
      <c r="F209">
        <v>48953748</v>
      </c>
      <c r="G209">
        <v>23256207</v>
      </c>
      <c r="H209">
        <f>362193+149306</f>
        <v>511499</v>
      </c>
      <c r="I209" s="30">
        <f>G209-H209</f>
        <v>22744708</v>
      </c>
      <c r="J209" t="s">
        <v>48</v>
      </c>
      <c r="K209">
        <v>249603</v>
      </c>
    </row>
    <row r="210">
      <c r="A210" s="25">
        <v>2022</v>
      </c>
      <c r="B210" t="s">
        <v>164</v>
      </c>
      <c r="C210" t="s">
        <v>12</v>
      </c>
      <c r="D210" t="s">
        <v>11</v>
      </c>
      <c r="E210" t="s">
        <v>13</v>
      </c>
      <c r="F210">
        <v>48953748</v>
      </c>
      <c r="G210">
        <v>23256207</v>
      </c>
      <c r="H210">
        <f>362193+149306</f>
        <v>511499</v>
      </c>
      <c r="I210" s="30">
        <f>G210-H210</f>
        <v>22744708</v>
      </c>
      <c r="J210" t="s">
        <v>39</v>
      </c>
      <c r="K210">
        <v>964775</v>
      </c>
    </row>
    <row r="211">
      <c r="A211" s="25">
        <v>2022</v>
      </c>
      <c r="B211" t="s">
        <v>164</v>
      </c>
      <c r="C211" t="s">
        <v>12</v>
      </c>
      <c r="D211" t="s">
        <v>11</v>
      </c>
      <c r="E211" t="s">
        <v>13</v>
      </c>
      <c r="F211">
        <v>48953748</v>
      </c>
      <c r="G211">
        <v>23256207</v>
      </c>
      <c r="H211">
        <f>362193+149306</f>
        <v>511499</v>
      </c>
      <c r="I211" s="30">
        <f>G211-H211</f>
        <v>22744708</v>
      </c>
      <c r="J211" t="s">
        <v>37</v>
      </c>
      <c r="K211">
        <v>4248537</v>
      </c>
    </row>
    <row r="212">
      <c r="A212" s="27">
        <v>2022</v>
      </c>
      <c r="B212" s="28" t="s">
        <v>164</v>
      </c>
      <c r="C212" s="28" t="s">
        <v>12</v>
      </c>
      <c r="D212" s="28" t="s">
        <v>11</v>
      </c>
      <c r="E212" s="28" t="s">
        <v>13</v>
      </c>
      <c r="F212" s="28">
        <v>48953748</v>
      </c>
      <c r="G212" s="28">
        <v>23256207</v>
      </c>
      <c r="H212" s="28">
        <f>362193+149306</f>
        <v>511499</v>
      </c>
      <c r="I212" s="32">
        <f>G212-H212</f>
        <v>22744708</v>
      </c>
      <c r="J212" s="28" t="s">
        <v>100</v>
      </c>
      <c r="K212" s="28">
        <v>6457</v>
      </c>
    </row>
    <row r="213">
      <c r="A213" s="22">
        <v>2022</v>
      </c>
      <c r="B213" s="23" t="s">
        <v>164</v>
      </c>
      <c r="C213" s="23" t="s">
        <v>12</v>
      </c>
      <c r="D213" s="23" t="s">
        <v>11</v>
      </c>
      <c r="E213" s="23" t="s">
        <v>19</v>
      </c>
      <c r="F213" s="23">
        <v>48589606</v>
      </c>
      <c r="G213" s="23">
        <v>22464299</v>
      </c>
      <c r="H213" s="23">
        <f>1239928+477288</f>
        <v>1717216</v>
      </c>
      <c r="I213" s="31">
        <f>G213-H213</f>
        <v>20747083</v>
      </c>
      <c r="J213" s="23" t="s">
        <v>98</v>
      </c>
      <c r="K213" s="23">
        <v>11229</v>
      </c>
    </row>
    <row r="214">
      <c r="A214" s="25">
        <v>2022</v>
      </c>
      <c r="B214" t="s">
        <v>164</v>
      </c>
      <c r="C214" t="s">
        <v>12</v>
      </c>
      <c r="D214" t="s">
        <v>11</v>
      </c>
      <c r="E214" t="s">
        <v>19</v>
      </c>
      <c r="F214">
        <v>48589606</v>
      </c>
      <c r="G214">
        <v>22464299</v>
      </c>
      <c r="H214">
        <f>1239928+477288</f>
        <v>1717216</v>
      </c>
      <c r="I214" s="30">
        <f>G214-H214</f>
        <v>20747083</v>
      </c>
      <c r="J214" t="s">
        <v>99</v>
      </c>
      <c r="K214">
        <v>6555984</v>
      </c>
    </row>
    <row r="215">
      <c r="A215" s="25">
        <v>2022</v>
      </c>
      <c r="B215" t="s">
        <v>164</v>
      </c>
      <c r="C215" t="s">
        <v>12</v>
      </c>
      <c r="D215" t="s">
        <v>11</v>
      </c>
      <c r="E215" t="s">
        <v>19</v>
      </c>
      <c r="F215">
        <v>48589606</v>
      </c>
      <c r="G215">
        <v>22464299</v>
      </c>
      <c r="H215">
        <f>1239928+477288</f>
        <v>1717216</v>
      </c>
      <c r="I215" s="30">
        <f>G215-H215</f>
        <v>20747083</v>
      </c>
      <c r="J215" t="s">
        <v>43</v>
      </c>
      <c r="K215">
        <v>443274</v>
      </c>
    </row>
    <row r="216">
      <c r="A216" s="25">
        <v>2022</v>
      </c>
      <c r="B216" t="s">
        <v>164</v>
      </c>
      <c r="C216" t="s">
        <v>12</v>
      </c>
      <c r="D216" t="s">
        <v>11</v>
      </c>
      <c r="E216" t="s">
        <v>19</v>
      </c>
      <c r="F216">
        <v>48589606</v>
      </c>
      <c r="G216">
        <v>22464299</v>
      </c>
      <c r="H216">
        <f>1239928+477288</f>
        <v>1717216</v>
      </c>
      <c r="I216" s="30">
        <f>G216-H216</f>
        <v>20747083</v>
      </c>
      <c r="J216" t="s">
        <v>35</v>
      </c>
      <c r="K216">
        <v>18296</v>
      </c>
    </row>
    <row r="217">
      <c r="A217" s="25">
        <v>2022</v>
      </c>
      <c r="B217" t="s">
        <v>164</v>
      </c>
      <c r="C217" t="s">
        <v>12</v>
      </c>
      <c r="D217" t="s">
        <v>11</v>
      </c>
      <c r="E217" t="s">
        <v>19</v>
      </c>
      <c r="F217">
        <v>48589606</v>
      </c>
      <c r="G217">
        <v>22464299</v>
      </c>
      <c r="H217">
        <f>1239928+477288</f>
        <v>1717216</v>
      </c>
      <c r="I217" s="30">
        <f>G217-H217</f>
        <v>20747083</v>
      </c>
      <c r="J217" t="s">
        <v>45</v>
      </c>
      <c r="K217">
        <v>264802</v>
      </c>
    </row>
    <row r="218">
      <c r="A218" s="25">
        <v>2022</v>
      </c>
      <c r="B218" t="s">
        <v>164</v>
      </c>
      <c r="C218" t="s">
        <v>12</v>
      </c>
      <c r="D218" t="s">
        <v>11</v>
      </c>
      <c r="E218" t="s">
        <v>19</v>
      </c>
      <c r="F218">
        <v>48589606</v>
      </c>
      <c r="G218">
        <v>22464299</v>
      </c>
      <c r="H218">
        <f>1239928+477288</f>
        <v>1717216</v>
      </c>
      <c r="I218" s="30">
        <f>G218-H218</f>
        <v>20747083</v>
      </c>
      <c r="J218" t="s">
        <v>36</v>
      </c>
      <c r="K218">
        <v>8002407</v>
      </c>
    </row>
    <row r="219">
      <c r="A219" s="25">
        <v>2022</v>
      </c>
      <c r="B219" t="s">
        <v>164</v>
      </c>
      <c r="C219" t="s">
        <v>12</v>
      </c>
      <c r="D219" t="s">
        <v>11</v>
      </c>
      <c r="E219" t="s">
        <v>19</v>
      </c>
      <c r="F219">
        <v>48589606</v>
      </c>
      <c r="G219">
        <v>22464299</v>
      </c>
      <c r="H219">
        <f>1239928+477288</f>
        <v>1717216</v>
      </c>
      <c r="I219" s="30">
        <f>G219-H219</f>
        <v>20747083</v>
      </c>
      <c r="J219" t="s">
        <v>44</v>
      </c>
      <c r="K219">
        <v>99122</v>
      </c>
    </row>
    <row r="220">
      <c r="A220" s="25">
        <v>2022</v>
      </c>
      <c r="B220" t="s">
        <v>164</v>
      </c>
      <c r="C220" t="s">
        <v>12</v>
      </c>
      <c r="D220" t="s">
        <v>11</v>
      </c>
      <c r="E220" t="s">
        <v>19</v>
      </c>
      <c r="F220">
        <v>48589606</v>
      </c>
      <c r="G220">
        <v>22464299</v>
      </c>
      <c r="H220">
        <f>1239928+477288</f>
        <v>1717216</v>
      </c>
      <c r="I220" s="30">
        <f>G220-H220</f>
        <v>20747083</v>
      </c>
      <c r="J220" t="s">
        <v>47</v>
      </c>
      <c r="K220">
        <v>64444</v>
      </c>
    </row>
    <row r="221">
      <c r="A221" s="25">
        <v>2022</v>
      </c>
      <c r="B221" t="s">
        <v>164</v>
      </c>
      <c r="C221" t="s">
        <v>12</v>
      </c>
      <c r="D221" t="s">
        <v>11</v>
      </c>
      <c r="E221" t="s">
        <v>19</v>
      </c>
      <c r="F221">
        <v>48589606</v>
      </c>
      <c r="G221">
        <v>22464299</v>
      </c>
      <c r="H221">
        <f>1239928+477288</f>
        <v>1717216</v>
      </c>
      <c r="I221" s="30">
        <f>G221-H221</f>
        <v>20747083</v>
      </c>
      <c r="J221" t="s">
        <v>31</v>
      </c>
      <c r="K221">
        <v>1447877</v>
      </c>
    </row>
    <row r="222">
      <c r="A222" s="25">
        <v>2022</v>
      </c>
      <c r="B222" t="s">
        <v>164</v>
      </c>
      <c r="C222" t="s">
        <v>12</v>
      </c>
      <c r="D222" t="s">
        <v>11</v>
      </c>
      <c r="E222" t="s">
        <v>19</v>
      </c>
      <c r="F222">
        <v>48589606</v>
      </c>
      <c r="G222">
        <v>22464299</v>
      </c>
      <c r="H222">
        <f>1239928+477288</f>
        <v>1717216</v>
      </c>
      <c r="I222" s="30">
        <f>G222-H222</f>
        <v>20747083</v>
      </c>
      <c r="J222" t="s">
        <v>26</v>
      </c>
      <c r="K222">
        <v>231073</v>
      </c>
    </row>
    <row r="223">
      <c r="A223" s="25">
        <v>2022</v>
      </c>
      <c r="B223" t="s">
        <v>164</v>
      </c>
      <c r="C223" t="s">
        <v>12</v>
      </c>
      <c r="D223" t="s">
        <v>11</v>
      </c>
      <c r="E223" t="s">
        <v>19</v>
      </c>
      <c r="F223">
        <v>48589606</v>
      </c>
      <c r="G223">
        <v>22464299</v>
      </c>
      <c r="H223">
        <f>1239928+477288</f>
        <v>1717216</v>
      </c>
      <c r="I223" s="30">
        <f>G223-H223</f>
        <v>20747083</v>
      </c>
      <c r="J223" t="s">
        <v>48</v>
      </c>
      <c r="K223">
        <v>19306</v>
      </c>
    </row>
    <row r="224">
      <c r="A224" s="27">
        <v>2022</v>
      </c>
      <c r="B224" s="28" t="s">
        <v>164</v>
      </c>
      <c r="C224" s="28" t="s">
        <v>12</v>
      </c>
      <c r="D224" s="28" t="s">
        <v>11</v>
      </c>
      <c r="E224" s="28" t="s">
        <v>19</v>
      </c>
      <c r="F224" s="28">
        <v>48589606</v>
      </c>
      <c r="G224" s="28">
        <v>22464299</v>
      </c>
      <c r="H224" s="28">
        <f>1239928+477288</f>
        <v>1717216</v>
      </c>
      <c r="I224" s="32">
        <f>G224-H224</f>
        <v>20747083</v>
      </c>
      <c r="J224" s="28" t="s">
        <v>37</v>
      </c>
      <c r="K224" s="28">
        <v>3589269</v>
      </c>
    </row>
    <row r="225">
      <c r="A225" s="22">
        <v>2022</v>
      </c>
      <c r="B225" s="23" t="s">
        <v>164</v>
      </c>
      <c r="C225" s="23" t="s">
        <v>165</v>
      </c>
      <c r="D225" s="23">
        <v>4301</v>
      </c>
      <c r="E225" s="23" t="s">
        <v>13</v>
      </c>
      <c r="F225" s="23">
        <v>101606</v>
      </c>
      <c r="G225" s="23">
        <v>53289</v>
      </c>
      <c r="H225" s="23">
        <f>649+245</f>
        <v>894</v>
      </c>
      <c r="I225" s="31">
        <f>G225-H225</f>
        <v>52395</v>
      </c>
      <c r="J225" s="23" t="s">
        <v>31</v>
      </c>
      <c r="K225" s="23">
        <v>23714</v>
      </c>
    </row>
    <row r="226">
      <c r="A226" s="25">
        <v>2022</v>
      </c>
      <c r="B226" t="s">
        <v>164</v>
      </c>
      <c r="C226" t="s">
        <v>165</v>
      </c>
      <c r="D226">
        <v>4301</v>
      </c>
      <c r="E226" t="s">
        <v>13</v>
      </c>
      <c r="F226">
        <v>101606</v>
      </c>
      <c r="G226">
        <v>53289</v>
      </c>
      <c r="H226">
        <f>649+245</f>
        <v>894</v>
      </c>
      <c r="I226" s="30">
        <f>G226-H226</f>
        <v>52395</v>
      </c>
      <c r="J226" t="s">
        <v>99</v>
      </c>
      <c r="K226">
        <v>9933</v>
      </c>
    </row>
    <row r="227">
      <c r="A227" s="25">
        <v>2022</v>
      </c>
      <c r="B227" t="s">
        <v>164</v>
      </c>
      <c r="C227" t="s">
        <v>165</v>
      </c>
      <c r="D227">
        <v>4301</v>
      </c>
      <c r="E227" t="s">
        <v>13</v>
      </c>
      <c r="F227">
        <v>101606</v>
      </c>
      <c r="G227">
        <v>53289</v>
      </c>
      <c r="H227">
        <f>649+245</f>
        <v>894</v>
      </c>
      <c r="I227" s="30">
        <f>G227-H227</f>
        <v>52395</v>
      </c>
      <c r="J227" t="s">
        <v>36</v>
      </c>
      <c r="K227">
        <v>7459</v>
      </c>
    </row>
    <row r="228">
      <c r="A228" s="25">
        <v>2022</v>
      </c>
      <c r="B228" t="s">
        <v>164</v>
      </c>
      <c r="C228" t="s">
        <v>165</v>
      </c>
      <c r="D228">
        <v>4301</v>
      </c>
      <c r="E228" t="s">
        <v>13</v>
      </c>
      <c r="F228">
        <v>101606</v>
      </c>
      <c r="G228">
        <v>53289</v>
      </c>
      <c r="H228">
        <f>649+245</f>
        <v>894</v>
      </c>
      <c r="I228" s="30">
        <f>G228-H228</f>
        <v>52395</v>
      </c>
      <c r="J228" t="s">
        <v>37</v>
      </c>
      <c r="K228">
        <v>7458</v>
      </c>
    </row>
    <row r="229">
      <c r="A229" s="25">
        <v>2022</v>
      </c>
      <c r="B229" t="s">
        <v>164</v>
      </c>
      <c r="C229" t="s">
        <v>165</v>
      </c>
      <c r="D229">
        <v>4301</v>
      </c>
      <c r="E229" t="s">
        <v>13</v>
      </c>
      <c r="F229">
        <v>101606</v>
      </c>
      <c r="G229">
        <v>53289</v>
      </c>
      <c r="H229">
        <f>649+245</f>
        <v>894</v>
      </c>
      <c r="I229" s="30">
        <f>G229-H229</f>
        <v>52395</v>
      </c>
      <c r="J229" t="s">
        <v>39</v>
      </c>
      <c r="K229">
        <v>1368</v>
      </c>
    </row>
    <row r="230">
      <c r="A230" s="25">
        <v>2022</v>
      </c>
      <c r="B230" t="s">
        <v>164</v>
      </c>
      <c r="C230" t="s">
        <v>165</v>
      </c>
      <c r="D230">
        <v>4301</v>
      </c>
      <c r="E230" t="s">
        <v>13</v>
      </c>
      <c r="F230">
        <v>101606</v>
      </c>
      <c r="G230">
        <v>53289</v>
      </c>
      <c r="H230">
        <f>649+245</f>
        <v>894</v>
      </c>
      <c r="I230" s="30">
        <f>G230-H230</f>
        <v>52395</v>
      </c>
      <c r="J230" t="s">
        <v>14</v>
      </c>
      <c r="K230">
        <v>1283</v>
      </c>
    </row>
    <row r="231">
      <c r="A231" s="25">
        <v>2022</v>
      </c>
      <c r="B231" t="s">
        <v>164</v>
      </c>
      <c r="C231" t="s">
        <v>165</v>
      </c>
      <c r="D231">
        <v>4301</v>
      </c>
      <c r="E231" t="s">
        <v>13</v>
      </c>
      <c r="F231">
        <v>101606</v>
      </c>
      <c r="G231">
        <v>53289</v>
      </c>
      <c r="H231">
        <f>649+245</f>
        <v>894</v>
      </c>
      <c r="I231" s="30">
        <f>G231-H231</f>
        <v>52395</v>
      </c>
      <c r="J231" t="s">
        <v>14</v>
      </c>
      <c r="K231">
        <v>663</v>
      </c>
    </row>
    <row r="232">
      <c r="A232" s="27">
        <v>2022</v>
      </c>
      <c r="B232" s="28" t="s">
        <v>164</v>
      </c>
      <c r="C232" s="28" t="s">
        <v>165</v>
      </c>
      <c r="D232" s="28">
        <v>4301</v>
      </c>
      <c r="E232" s="28" t="s">
        <v>13</v>
      </c>
      <c r="F232" s="28">
        <v>101606</v>
      </c>
      <c r="G232" s="28">
        <v>53289</v>
      </c>
      <c r="H232" s="28">
        <f>649+245</f>
        <v>894</v>
      </c>
      <c r="I232" s="32">
        <f>G232-H232</f>
        <v>52395</v>
      </c>
      <c r="J232" s="28" t="s">
        <v>98</v>
      </c>
      <c r="K232" s="28">
        <v>517</v>
      </c>
    </row>
    <row r="233">
      <c r="A233" s="22">
        <v>2022</v>
      </c>
      <c r="B233" s="23" t="s">
        <v>164</v>
      </c>
      <c r="C233" s="23" t="s">
        <v>165</v>
      </c>
      <c r="D233" s="23">
        <v>4301</v>
      </c>
      <c r="E233" s="23" t="s">
        <v>19</v>
      </c>
      <c r="F233" s="23">
        <v>101598</v>
      </c>
      <c r="G233" s="23">
        <v>48757</v>
      </c>
      <c r="H233" s="23">
        <f>1752+754</f>
        <v>2506</v>
      </c>
      <c r="I233" s="31">
        <f>G233-H233</f>
        <v>46251</v>
      </c>
      <c r="J233" s="23" t="s">
        <v>31</v>
      </c>
      <c r="K233" s="23">
        <v>32478</v>
      </c>
    </row>
    <row r="234">
      <c r="A234" s="27">
        <v>2022</v>
      </c>
      <c r="B234" s="28" t="s">
        <v>164</v>
      </c>
      <c r="C234" s="28" t="s">
        <v>165</v>
      </c>
      <c r="D234" s="28">
        <v>4301</v>
      </c>
      <c r="E234" s="28" t="s">
        <v>19</v>
      </c>
      <c r="F234" s="28">
        <v>101598</v>
      </c>
      <c r="G234" s="28">
        <v>48757</v>
      </c>
      <c r="H234" s="28">
        <f>1752+754</f>
        <v>2506</v>
      </c>
      <c r="I234" s="32">
        <f>G234-H234</f>
        <v>46251</v>
      </c>
      <c r="J234" s="28" t="s">
        <v>99</v>
      </c>
      <c r="K234" s="28">
        <v>13773</v>
      </c>
    </row>
    <row r="235">
      <c r="A235" s="22">
        <v>2022</v>
      </c>
      <c r="B235" s="23" t="s">
        <v>164</v>
      </c>
      <c r="C235" s="23" t="s">
        <v>165</v>
      </c>
      <c r="D235" s="23">
        <v>4302</v>
      </c>
      <c r="E235" s="23" t="s">
        <v>13</v>
      </c>
      <c r="F235" s="23">
        <v>79494</v>
      </c>
      <c r="G235" s="23">
        <v>42317</v>
      </c>
      <c r="H235" s="23">
        <f>717+334</f>
        <v>1051</v>
      </c>
      <c r="I235" s="31">
        <f>G235-H235</f>
        <v>41266</v>
      </c>
      <c r="J235" s="23" t="s">
        <v>31</v>
      </c>
      <c r="K235" s="23">
        <v>18850</v>
      </c>
    </row>
    <row r="236">
      <c r="A236" s="25">
        <v>2022</v>
      </c>
      <c r="B236" t="s">
        <v>164</v>
      </c>
      <c r="C236" t="s">
        <v>165</v>
      </c>
      <c r="D236">
        <v>4302</v>
      </c>
      <c r="E236" t="s">
        <v>13</v>
      </c>
      <c r="F236">
        <v>79494</v>
      </c>
      <c r="G236">
        <v>42317</v>
      </c>
      <c r="H236">
        <f>717+334</f>
        <v>1051</v>
      </c>
      <c r="I236" s="30">
        <f>G236-H236</f>
        <v>41266</v>
      </c>
      <c r="J236" t="s">
        <v>99</v>
      </c>
      <c r="K236">
        <v>8166</v>
      </c>
    </row>
    <row r="237">
      <c r="A237" s="25">
        <v>2022</v>
      </c>
      <c r="B237" t="s">
        <v>164</v>
      </c>
      <c r="C237" t="s">
        <v>165</v>
      </c>
      <c r="D237">
        <v>4302</v>
      </c>
      <c r="E237" t="s">
        <v>13</v>
      </c>
      <c r="F237">
        <v>79494</v>
      </c>
      <c r="G237">
        <v>42317</v>
      </c>
      <c r="H237">
        <f>717+334</f>
        <v>1051</v>
      </c>
      <c r="I237" s="30">
        <f>G237-H237</f>
        <v>41266</v>
      </c>
      <c r="J237" t="s">
        <v>37</v>
      </c>
      <c r="K237">
        <v>5618</v>
      </c>
    </row>
    <row r="238">
      <c r="A238" s="25">
        <v>2022</v>
      </c>
      <c r="B238" t="s">
        <v>164</v>
      </c>
      <c r="C238" t="s">
        <v>165</v>
      </c>
      <c r="D238">
        <v>4302</v>
      </c>
      <c r="E238" t="s">
        <v>13</v>
      </c>
      <c r="F238">
        <v>79494</v>
      </c>
      <c r="G238">
        <v>42317</v>
      </c>
      <c r="H238">
        <f>717+334</f>
        <v>1051</v>
      </c>
      <c r="I238" s="30">
        <f>G238-H238</f>
        <v>41266</v>
      </c>
      <c r="J238" t="s">
        <v>36</v>
      </c>
      <c r="K238">
        <v>4764</v>
      </c>
    </row>
    <row r="239">
      <c r="A239" s="25">
        <v>2022</v>
      </c>
      <c r="B239" t="s">
        <v>164</v>
      </c>
      <c r="C239" t="s">
        <v>165</v>
      </c>
      <c r="D239">
        <v>4302</v>
      </c>
      <c r="E239" t="s">
        <v>13</v>
      </c>
      <c r="F239">
        <v>79494</v>
      </c>
      <c r="G239">
        <v>42317</v>
      </c>
      <c r="H239">
        <f>717+334</f>
        <v>1051</v>
      </c>
      <c r="I239" s="30">
        <f>G239-H239</f>
        <v>41266</v>
      </c>
      <c r="J239" t="s">
        <v>39</v>
      </c>
      <c r="K239">
        <v>1041</v>
      </c>
    </row>
    <row r="240">
      <c r="A240" s="25">
        <v>2022</v>
      </c>
      <c r="B240" t="s">
        <v>164</v>
      </c>
      <c r="C240" t="s">
        <v>165</v>
      </c>
      <c r="D240">
        <v>4302</v>
      </c>
      <c r="E240" t="s">
        <v>13</v>
      </c>
      <c r="F240">
        <v>79494</v>
      </c>
      <c r="G240">
        <v>42317</v>
      </c>
      <c r="H240">
        <f>717+334</f>
        <v>1051</v>
      </c>
      <c r="I240" s="30">
        <f>G240-H240</f>
        <v>41266</v>
      </c>
      <c r="J240" t="s">
        <v>14</v>
      </c>
      <c r="K240">
        <v>856</v>
      </c>
    </row>
    <row r="241">
      <c r="A241" s="25">
        <v>2022</v>
      </c>
      <c r="B241" t="s">
        <v>164</v>
      </c>
      <c r="C241" t="s">
        <v>165</v>
      </c>
      <c r="D241">
        <v>4302</v>
      </c>
      <c r="E241" t="s">
        <v>13</v>
      </c>
      <c r="F241">
        <v>79494</v>
      </c>
      <c r="G241">
        <v>42317</v>
      </c>
      <c r="H241">
        <f>717+334</f>
        <v>1051</v>
      </c>
      <c r="I241" s="30">
        <f>G241-H241</f>
        <v>41266</v>
      </c>
      <c r="J241" t="s">
        <v>14</v>
      </c>
      <c r="K241">
        <v>578</v>
      </c>
    </row>
    <row r="242">
      <c r="A242" s="25">
        <v>2022</v>
      </c>
      <c r="B242" t="s">
        <v>164</v>
      </c>
      <c r="C242" t="s">
        <v>165</v>
      </c>
      <c r="D242">
        <v>4302</v>
      </c>
      <c r="E242" t="s">
        <v>13</v>
      </c>
      <c r="F242">
        <v>79494</v>
      </c>
      <c r="G242">
        <v>42317</v>
      </c>
      <c r="H242">
        <f>717+334</f>
        <v>1051</v>
      </c>
      <c r="I242" s="30">
        <f>G242-H242</f>
        <v>41266</v>
      </c>
      <c r="J242" t="s">
        <v>48</v>
      </c>
      <c r="K242">
        <v>495</v>
      </c>
    </row>
    <row r="243">
      <c r="A243" s="25">
        <v>2022</v>
      </c>
      <c r="B243" t="s">
        <v>164</v>
      </c>
      <c r="C243" t="s">
        <v>165</v>
      </c>
      <c r="D243">
        <v>4302</v>
      </c>
      <c r="E243" t="s">
        <v>13</v>
      </c>
      <c r="F243">
        <v>79494</v>
      </c>
      <c r="G243">
        <v>42317</v>
      </c>
      <c r="H243">
        <f>717+334</f>
        <v>1051</v>
      </c>
      <c r="I243" s="30">
        <f>G243-H243</f>
        <v>41266</v>
      </c>
      <c r="J243" t="s">
        <v>98</v>
      </c>
      <c r="K243">
        <v>375</v>
      </c>
    </row>
    <row r="244">
      <c r="A244" s="25">
        <v>2022</v>
      </c>
      <c r="B244" t="s">
        <v>164</v>
      </c>
      <c r="C244" t="s">
        <v>165</v>
      </c>
      <c r="D244">
        <v>4302</v>
      </c>
      <c r="E244" t="s">
        <v>13</v>
      </c>
      <c r="F244">
        <v>79494</v>
      </c>
      <c r="G244">
        <v>42317</v>
      </c>
      <c r="H244">
        <f>717+334</f>
        <v>1051</v>
      </c>
      <c r="I244" s="30">
        <f>G244-H244</f>
        <v>41266</v>
      </c>
      <c r="J244" t="s">
        <v>45</v>
      </c>
      <c r="K244">
        <v>367</v>
      </c>
    </row>
    <row r="245">
      <c r="A245" s="27">
        <v>2022</v>
      </c>
      <c r="B245" s="28" t="s">
        <v>164</v>
      </c>
      <c r="C245" s="28" t="s">
        <v>165</v>
      </c>
      <c r="D245" s="28">
        <v>4302</v>
      </c>
      <c r="E245" s="28" t="s">
        <v>13</v>
      </c>
      <c r="F245" s="28">
        <v>79494</v>
      </c>
      <c r="G245" s="28">
        <v>42317</v>
      </c>
      <c r="H245" s="28">
        <f>717+334</f>
        <v>1051</v>
      </c>
      <c r="I245" s="32">
        <f>G245-H245</f>
        <v>41266</v>
      </c>
      <c r="J245" s="28" t="s">
        <v>35</v>
      </c>
      <c r="K245" s="28">
        <v>156</v>
      </c>
    </row>
    <row r="246">
      <c r="A246" s="22">
        <v>2022</v>
      </c>
      <c r="B246" s="23" t="s">
        <v>164</v>
      </c>
      <c r="C246" s="23" t="s">
        <v>165</v>
      </c>
      <c r="D246" s="23">
        <v>4302</v>
      </c>
      <c r="E246" s="23" t="s">
        <v>19</v>
      </c>
      <c r="F246" s="23">
        <v>79477</v>
      </c>
      <c r="G246" s="23">
        <v>39724</v>
      </c>
      <c r="H246" s="23">
        <f>1485+756</f>
        <v>2241</v>
      </c>
      <c r="I246" s="31">
        <f>G246-H246</f>
        <v>37483</v>
      </c>
      <c r="J246" s="23" t="s">
        <v>31</v>
      </c>
      <c r="K246" s="23">
        <v>25621</v>
      </c>
    </row>
    <row r="247">
      <c r="A247" s="27">
        <v>2022</v>
      </c>
      <c r="B247" s="28" t="s">
        <v>164</v>
      </c>
      <c r="C247" s="28" t="s">
        <v>165</v>
      </c>
      <c r="D247" s="28">
        <v>4302</v>
      </c>
      <c r="E247" s="28" t="s">
        <v>19</v>
      </c>
      <c r="F247" s="28">
        <v>79477</v>
      </c>
      <c r="G247" s="28">
        <v>39724</v>
      </c>
      <c r="H247" s="28">
        <f>1485+756</f>
        <v>2241</v>
      </c>
      <c r="I247" s="32">
        <f>G247-H247</f>
        <v>37483</v>
      </c>
      <c r="J247" s="28" t="s">
        <v>99</v>
      </c>
      <c r="K247" s="28">
        <v>11862</v>
      </c>
    </row>
    <row r="248">
      <c r="A248" s="22">
        <v>2024</v>
      </c>
      <c r="B248" s="23" t="s">
        <v>164</v>
      </c>
      <c r="C248" s="23" t="s">
        <v>163</v>
      </c>
      <c r="D248" s="23" t="s">
        <v>11</v>
      </c>
      <c r="E248" s="23" t="s">
        <v>13</v>
      </c>
      <c r="F248" s="23">
        <v>49332709</v>
      </c>
      <c r="G248" s="23">
        <v>32908657</v>
      </c>
      <c r="H248" s="23">
        <f>582908+267803</f>
        <v>850711</v>
      </c>
      <c r="I248" s="31">
        <f>G248-H248</f>
        <v>32057946</v>
      </c>
      <c r="J248" s="23" t="s">
        <v>37</v>
      </c>
      <c r="K248" s="23">
        <v>9379092</v>
      </c>
    </row>
    <row r="249">
      <c r="A249" s="25">
        <v>2024</v>
      </c>
      <c r="B249" t="s">
        <v>164</v>
      </c>
      <c r="C249" t="s">
        <v>163</v>
      </c>
      <c r="D249" t="s">
        <v>11</v>
      </c>
      <c r="E249" t="s">
        <v>13</v>
      </c>
      <c r="F249">
        <v>49332709</v>
      </c>
      <c r="G249">
        <v>32908657</v>
      </c>
      <c r="H249">
        <f>582908+267803</f>
        <v>850711</v>
      </c>
      <c r="I249" s="30">
        <f>G249-H249</f>
        <v>32057946</v>
      </c>
      <c r="J249" t="s">
        <v>41</v>
      </c>
      <c r="K249">
        <v>8995226</v>
      </c>
    </row>
    <row r="250">
      <c r="A250" s="25">
        <v>2024</v>
      </c>
      <c r="B250" t="s">
        <v>164</v>
      </c>
      <c r="C250" t="s">
        <v>163</v>
      </c>
      <c r="D250" t="s">
        <v>11</v>
      </c>
      <c r="E250" t="s">
        <v>13</v>
      </c>
      <c r="F250">
        <v>49332709</v>
      </c>
      <c r="G250">
        <v>32908657</v>
      </c>
      <c r="H250">
        <f>582908+267803</f>
        <v>850711</v>
      </c>
      <c r="I250" s="30">
        <f>G250-H250</f>
        <v>32057946</v>
      </c>
      <c r="J250" t="s">
        <v>36</v>
      </c>
      <c r="K250">
        <v>6425707</v>
      </c>
    </row>
    <row r="251">
      <c r="A251" s="25">
        <v>2024</v>
      </c>
      <c r="B251" t="s">
        <v>164</v>
      </c>
      <c r="C251" t="s">
        <v>163</v>
      </c>
      <c r="D251" t="s">
        <v>11</v>
      </c>
      <c r="E251" t="s">
        <v>13</v>
      </c>
      <c r="F251">
        <v>49332709</v>
      </c>
      <c r="G251">
        <v>32908657</v>
      </c>
      <c r="H251">
        <f>582908+267803</f>
        <v>850711</v>
      </c>
      <c r="I251" s="30">
        <f>G251-H251</f>
        <v>32057946</v>
      </c>
      <c r="J251" t="s">
        <v>31</v>
      </c>
      <c r="K251">
        <v>2106166</v>
      </c>
    </row>
    <row r="252">
      <c r="A252" s="25">
        <v>2024</v>
      </c>
      <c r="B252" t="s">
        <v>164</v>
      </c>
      <c r="C252" t="s">
        <v>163</v>
      </c>
      <c r="D252" t="s">
        <v>11</v>
      </c>
      <c r="E252" t="s">
        <v>13</v>
      </c>
      <c r="F252">
        <v>49332709</v>
      </c>
      <c r="G252">
        <v>32908657</v>
      </c>
      <c r="H252">
        <f>582908+267803</f>
        <v>850711</v>
      </c>
      <c r="I252" s="30">
        <f>G252-H252</f>
        <v>32057946</v>
      </c>
      <c r="J252" t="s">
        <v>42</v>
      </c>
      <c r="K252">
        <v>1268822</v>
      </c>
    </row>
    <row r="253">
      <c r="A253" s="25">
        <v>2024</v>
      </c>
      <c r="B253" t="s">
        <v>164</v>
      </c>
      <c r="C253" t="s">
        <v>163</v>
      </c>
      <c r="D253" t="s">
        <v>11</v>
      </c>
      <c r="E253" t="s">
        <v>13</v>
      </c>
      <c r="F253">
        <v>49332709</v>
      </c>
      <c r="G253">
        <v>32908657</v>
      </c>
      <c r="H253">
        <f>582908+267803</f>
        <v>850711</v>
      </c>
      <c r="I253" s="30">
        <f>G253-H253</f>
        <v>32057946</v>
      </c>
      <c r="J253" t="s">
        <v>26</v>
      </c>
      <c r="K253">
        <v>1154785</v>
      </c>
    </row>
    <row r="254">
      <c r="A254" s="25">
        <v>2024</v>
      </c>
      <c r="B254" t="s">
        <v>164</v>
      </c>
      <c r="C254" t="s">
        <v>163</v>
      </c>
      <c r="D254" t="s">
        <v>11</v>
      </c>
      <c r="E254" t="s">
        <v>13</v>
      </c>
      <c r="F254">
        <v>49332709</v>
      </c>
      <c r="G254">
        <v>32908657</v>
      </c>
      <c r="H254">
        <f>582908+267803</f>
        <v>850711</v>
      </c>
      <c r="I254" s="30">
        <f>G254-H254</f>
        <v>32057946</v>
      </c>
      <c r="J254" t="s">
        <v>43</v>
      </c>
      <c r="K254">
        <v>490898</v>
      </c>
    </row>
    <row r="255">
      <c r="A255" s="25">
        <v>2024</v>
      </c>
      <c r="B255" t="s">
        <v>164</v>
      </c>
      <c r="C255" t="s">
        <v>163</v>
      </c>
      <c r="D255" t="s">
        <v>11</v>
      </c>
      <c r="E255" t="s">
        <v>13</v>
      </c>
      <c r="F255">
        <v>49332709</v>
      </c>
      <c r="G255">
        <v>32908657</v>
      </c>
      <c r="H255">
        <f>582908+267803</f>
        <v>850711</v>
      </c>
      <c r="I255" s="30">
        <f>G255-H255</f>
        <v>32057946</v>
      </c>
      <c r="J255" t="s">
        <v>44</v>
      </c>
      <c r="K255">
        <v>391423</v>
      </c>
    </row>
    <row r="256">
      <c r="A256" s="25">
        <v>2024</v>
      </c>
      <c r="B256" t="s">
        <v>164</v>
      </c>
      <c r="C256" t="s">
        <v>163</v>
      </c>
      <c r="D256" t="s">
        <v>11</v>
      </c>
      <c r="E256" t="s">
        <v>13</v>
      </c>
      <c r="F256">
        <v>49332709</v>
      </c>
      <c r="G256">
        <v>32908657</v>
      </c>
      <c r="H256">
        <f>582908+267803</f>
        <v>850711</v>
      </c>
      <c r="I256" s="30">
        <f>G256-H256</f>
        <v>32057946</v>
      </c>
      <c r="J256" t="s">
        <v>23</v>
      </c>
      <c r="K256">
        <v>366594</v>
      </c>
    </row>
    <row r="257">
      <c r="A257" s="25">
        <v>2024</v>
      </c>
      <c r="B257" t="s">
        <v>164</v>
      </c>
      <c r="C257" t="s">
        <v>163</v>
      </c>
      <c r="D257" t="s">
        <v>11</v>
      </c>
      <c r="E257" t="s">
        <v>13</v>
      </c>
      <c r="F257">
        <v>49332709</v>
      </c>
      <c r="G257">
        <v>32908657</v>
      </c>
      <c r="H257">
        <f>582908+267803</f>
        <v>850711</v>
      </c>
      <c r="I257" s="30">
        <f>G257-H257</f>
        <v>32057946</v>
      </c>
      <c r="J257" t="s">
        <v>45</v>
      </c>
      <c r="K257">
        <v>310727</v>
      </c>
    </row>
    <row r="258">
      <c r="A258" s="25">
        <v>2024</v>
      </c>
      <c r="B258" t="s">
        <v>164</v>
      </c>
      <c r="C258" t="s">
        <v>163</v>
      </c>
      <c r="D258" t="s">
        <v>11</v>
      </c>
      <c r="E258" t="s">
        <v>13</v>
      </c>
      <c r="F258">
        <v>49332709</v>
      </c>
      <c r="G258">
        <v>32908657</v>
      </c>
      <c r="H258">
        <f>582908+267803</f>
        <v>850711</v>
      </c>
      <c r="I258" s="30">
        <f>G258-H258</f>
        <v>32057946</v>
      </c>
      <c r="J258" t="s">
        <v>39</v>
      </c>
      <c r="K258">
        <v>238934</v>
      </c>
    </row>
    <row r="259">
      <c r="A259" s="25">
        <v>2024</v>
      </c>
      <c r="B259" t="s">
        <v>164</v>
      </c>
      <c r="C259" t="s">
        <v>163</v>
      </c>
      <c r="D259" t="s">
        <v>11</v>
      </c>
      <c r="E259" t="s">
        <v>13</v>
      </c>
      <c r="F259">
        <v>49332709</v>
      </c>
      <c r="G259">
        <v>32908657</v>
      </c>
      <c r="H259">
        <f>582908+267803</f>
        <v>850711</v>
      </c>
      <c r="I259" s="30">
        <f>G259-H259</f>
        <v>32057946</v>
      </c>
      <c r="J259" t="s">
        <v>46</v>
      </c>
      <c r="K259">
        <v>231667</v>
      </c>
    </row>
    <row r="260">
      <c r="A260" s="25">
        <v>2024</v>
      </c>
      <c r="B260" t="s">
        <v>164</v>
      </c>
      <c r="C260" t="s">
        <v>163</v>
      </c>
      <c r="D260" t="s">
        <v>11</v>
      </c>
      <c r="E260" t="s">
        <v>13</v>
      </c>
      <c r="F260">
        <v>49332709</v>
      </c>
      <c r="G260">
        <v>32908657</v>
      </c>
      <c r="H260">
        <f>582908+267803</f>
        <v>850711</v>
      </c>
      <c r="I260" s="30">
        <f>G260-H260</f>
        <v>32057946</v>
      </c>
      <c r="J260" t="s">
        <v>14</v>
      </c>
      <c r="K260">
        <v>182478</v>
      </c>
    </row>
    <row r="261">
      <c r="A261" s="25">
        <v>2024</v>
      </c>
      <c r="B261" t="s">
        <v>164</v>
      </c>
      <c r="C261" t="s">
        <v>163</v>
      </c>
      <c r="D261" t="s">
        <v>11</v>
      </c>
      <c r="E261" t="s">
        <v>13</v>
      </c>
      <c r="F261">
        <v>49332709</v>
      </c>
      <c r="G261">
        <v>32908657</v>
      </c>
      <c r="H261">
        <f>582908+267803</f>
        <v>850711</v>
      </c>
      <c r="I261" s="30">
        <f>G261-H261</f>
        <v>32057946</v>
      </c>
      <c r="J261" t="s">
        <v>47</v>
      </c>
      <c r="K261">
        <v>163072</v>
      </c>
    </row>
    <row r="262">
      <c r="A262" s="25">
        <v>2024</v>
      </c>
      <c r="B262" t="s">
        <v>164</v>
      </c>
      <c r="C262" t="s">
        <v>163</v>
      </c>
      <c r="D262" t="s">
        <v>11</v>
      </c>
      <c r="E262" t="s">
        <v>13</v>
      </c>
      <c r="F262">
        <v>49332709</v>
      </c>
      <c r="G262">
        <v>32908657</v>
      </c>
      <c r="H262">
        <f>582908+267803</f>
        <v>850711</v>
      </c>
      <c r="I262" s="30">
        <f>G262-H262</f>
        <v>32057946</v>
      </c>
      <c r="J262" t="s">
        <v>35</v>
      </c>
      <c r="K262">
        <v>142871</v>
      </c>
    </row>
    <row r="263">
      <c r="A263" s="25">
        <v>2024</v>
      </c>
      <c r="B263" t="s">
        <v>164</v>
      </c>
      <c r="C263" t="s">
        <v>163</v>
      </c>
      <c r="D263" t="s">
        <v>11</v>
      </c>
      <c r="E263" t="s">
        <v>13</v>
      </c>
      <c r="F263">
        <v>49332709</v>
      </c>
      <c r="G263">
        <v>32908657</v>
      </c>
      <c r="H263">
        <f>582908+267803</f>
        <v>850711</v>
      </c>
      <c r="I263" s="30">
        <f>G263-H263</f>
        <v>32057946</v>
      </c>
      <c r="J263" t="s">
        <v>48</v>
      </c>
      <c r="K263">
        <v>90110</v>
      </c>
    </row>
    <row r="264">
      <c r="A264" s="25">
        <v>2024</v>
      </c>
      <c r="B264" t="s">
        <v>164</v>
      </c>
      <c r="C264" t="s">
        <v>163</v>
      </c>
      <c r="D264" t="s">
        <v>11</v>
      </c>
      <c r="E264" t="s">
        <v>13</v>
      </c>
      <c r="F264">
        <v>49332709</v>
      </c>
      <c r="G264">
        <v>32908657</v>
      </c>
      <c r="H264">
        <f>582908+267803</f>
        <v>850711</v>
      </c>
      <c r="I264" s="30">
        <f>G264-H264</f>
        <v>32057946</v>
      </c>
      <c r="J264" t="s">
        <v>49</v>
      </c>
      <c r="K264">
        <v>59679</v>
      </c>
    </row>
    <row r="265">
      <c r="A265" s="25">
        <v>2024</v>
      </c>
      <c r="B265" t="s">
        <v>164</v>
      </c>
      <c r="C265" t="s">
        <v>163</v>
      </c>
      <c r="D265" t="s">
        <v>11</v>
      </c>
      <c r="E265" t="s">
        <v>13</v>
      </c>
      <c r="F265">
        <v>49332709</v>
      </c>
      <c r="G265">
        <v>32908657</v>
      </c>
      <c r="H265">
        <f>582908+267803</f>
        <v>850711</v>
      </c>
      <c r="I265" s="30">
        <f>G265-H265</f>
        <v>32057946</v>
      </c>
      <c r="J265" t="s">
        <v>33</v>
      </c>
      <c r="K265">
        <v>29242</v>
      </c>
    </row>
    <row r="266">
      <c r="A266" s="25">
        <v>2024</v>
      </c>
      <c r="B266" t="s">
        <v>164</v>
      </c>
      <c r="C266" t="s">
        <v>163</v>
      </c>
      <c r="D266" t="s">
        <v>11</v>
      </c>
      <c r="E266" t="s">
        <v>13</v>
      </c>
      <c r="F266">
        <v>49332709</v>
      </c>
      <c r="G266">
        <v>32908657</v>
      </c>
      <c r="H266">
        <f>582908+267803</f>
        <v>850711</v>
      </c>
      <c r="I266" s="30">
        <f>G266-H266</f>
        <v>32057946</v>
      </c>
      <c r="J266" t="s">
        <v>50</v>
      </c>
      <c r="K266">
        <v>12434</v>
      </c>
    </row>
    <row r="267">
      <c r="A267" s="25">
        <v>2024</v>
      </c>
      <c r="B267" t="s">
        <v>164</v>
      </c>
      <c r="C267" t="s">
        <v>163</v>
      </c>
      <c r="D267" t="s">
        <v>11</v>
      </c>
      <c r="E267" t="s">
        <v>13</v>
      </c>
      <c r="F267">
        <v>49332709</v>
      </c>
      <c r="G267">
        <v>32908657</v>
      </c>
      <c r="H267">
        <f>582908+267803</f>
        <v>850711</v>
      </c>
      <c r="I267" s="30">
        <f>G267-H267</f>
        <v>32057946</v>
      </c>
      <c r="J267" t="s">
        <v>32</v>
      </c>
      <c r="K267">
        <v>12224</v>
      </c>
    </row>
    <row r="268">
      <c r="A268" s="25">
        <v>2024</v>
      </c>
      <c r="B268" t="s">
        <v>164</v>
      </c>
      <c r="C268" t="s">
        <v>163</v>
      </c>
      <c r="D268" t="s">
        <v>11</v>
      </c>
      <c r="E268" t="s">
        <v>13</v>
      </c>
      <c r="F268">
        <v>49332709</v>
      </c>
      <c r="G268">
        <v>32908657</v>
      </c>
      <c r="H268">
        <f>582908+267803</f>
        <v>850711</v>
      </c>
      <c r="I268" s="30">
        <f>G268-H268</f>
        <v>32057946</v>
      </c>
      <c r="J268" t="s">
        <v>40</v>
      </c>
      <c r="K268">
        <v>3125</v>
      </c>
    </row>
    <row r="269">
      <c r="A269" s="27">
        <v>2024</v>
      </c>
      <c r="B269" s="28" t="s">
        <v>164</v>
      </c>
      <c r="C269" s="28" t="s">
        <v>163</v>
      </c>
      <c r="D269" s="28" t="s">
        <v>11</v>
      </c>
      <c r="E269" s="28" t="s">
        <v>13</v>
      </c>
      <c r="F269" s="28">
        <v>49332709</v>
      </c>
      <c r="G269" s="28">
        <v>32908657</v>
      </c>
      <c r="H269" s="28">
        <f>582908+267803</f>
        <v>850711</v>
      </c>
      <c r="I269" s="32">
        <f>G269-H269</f>
        <v>32057946</v>
      </c>
      <c r="J269" s="28" t="s">
        <v>51</v>
      </c>
      <c r="K269" s="28">
        <v>2668</v>
      </c>
    </row>
    <row r="270">
      <c r="A270" s="22">
        <v>2024</v>
      </c>
      <c r="B270" s="23" t="s">
        <v>164</v>
      </c>
      <c r="C270" s="23" t="s">
        <v>163</v>
      </c>
      <c r="D270" s="23" t="s">
        <v>11</v>
      </c>
      <c r="E270" s="23" t="s">
        <v>19</v>
      </c>
      <c r="F270" s="23">
        <v>43328508</v>
      </c>
      <c r="G270" s="23">
        <v>28867759</v>
      </c>
      <c r="H270" s="23">
        <f>1195089+392957</f>
        <v>1588046</v>
      </c>
      <c r="I270" s="31">
        <f>G270-H270</f>
        <v>27279713</v>
      </c>
      <c r="J270" s="23" t="s">
        <v>37</v>
      </c>
      <c r="K270" s="23">
        <v>8744080</v>
      </c>
    </row>
    <row r="271">
      <c r="A271" s="25">
        <v>2024</v>
      </c>
      <c r="B271" t="s">
        <v>164</v>
      </c>
      <c r="C271" t="s">
        <v>163</v>
      </c>
      <c r="D271" t="s">
        <v>11</v>
      </c>
      <c r="E271" t="s">
        <v>19</v>
      </c>
      <c r="F271">
        <v>43328508</v>
      </c>
      <c r="G271">
        <v>28867759</v>
      </c>
      <c r="H271">
        <f>1195089+392957</f>
        <v>1588046</v>
      </c>
      <c r="I271" s="30">
        <f>G271-H271</f>
        <v>27279713</v>
      </c>
      <c r="J271" t="s">
        <v>41</v>
      </c>
      <c r="K271">
        <v>7004725</v>
      </c>
    </row>
    <row r="272">
      <c r="A272" s="25">
        <v>2024</v>
      </c>
      <c r="B272" t="s">
        <v>164</v>
      </c>
      <c r="C272" t="s">
        <v>163</v>
      </c>
      <c r="D272" t="s">
        <v>11</v>
      </c>
      <c r="E272" t="s">
        <v>19</v>
      </c>
      <c r="F272">
        <v>43328508</v>
      </c>
      <c r="G272">
        <v>28867759</v>
      </c>
      <c r="H272">
        <f>1195089+392957</f>
        <v>1588046</v>
      </c>
      <c r="I272" s="30">
        <f>G272-H272</f>
        <v>27279713</v>
      </c>
      <c r="J272" t="s">
        <v>36</v>
      </c>
      <c r="K272">
        <v>6313808</v>
      </c>
    </row>
    <row r="273">
      <c r="A273" s="25">
        <v>2024</v>
      </c>
      <c r="B273" t="s">
        <v>164</v>
      </c>
      <c r="C273" t="s">
        <v>163</v>
      </c>
      <c r="D273" t="s">
        <v>11</v>
      </c>
      <c r="E273" t="s">
        <v>19</v>
      </c>
      <c r="F273">
        <v>43328508</v>
      </c>
      <c r="G273">
        <v>28867759</v>
      </c>
      <c r="H273">
        <f>1195089+392957</f>
        <v>1588046</v>
      </c>
      <c r="I273" s="30">
        <f>G273-H273</f>
        <v>27279713</v>
      </c>
      <c r="J273" t="s">
        <v>31</v>
      </c>
      <c r="K273">
        <v>1474650</v>
      </c>
    </row>
    <row r="274">
      <c r="A274" s="25">
        <v>2024</v>
      </c>
      <c r="B274" t="s">
        <v>164</v>
      </c>
      <c r="C274" t="s">
        <v>163</v>
      </c>
      <c r="D274" t="s">
        <v>11</v>
      </c>
      <c r="E274" t="s">
        <v>19</v>
      </c>
      <c r="F274">
        <v>43328508</v>
      </c>
      <c r="G274">
        <v>28867759</v>
      </c>
      <c r="H274">
        <f>1195089+392957</f>
        <v>1588046</v>
      </c>
      <c r="I274" s="30">
        <f>G274-H274</f>
        <v>27279713</v>
      </c>
      <c r="J274" t="s">
        <v>42</v>
      </c>
      <c r="K274">
        <v>1364964</v>
      </c>
    </row>
    <row r="275">
      <c r="A275" s="25">
        <v>2024</v>
      </c>
      <c r="B275" t="s">
        <v>164</v>
      </c>
      <c r="C275" t="s">
        <v>163</v>
      </c>
      <c r="D275" t="s">
        <v>11</v>
      </c>
      <c r="E275" t="s">
        <v>19</v>
      </c>
      <c r="F275">
        <v>43328508</v>
      </c>
      <c r="G275">
        <v>28867759</v>
      </c>
      <c r="H275">
        <f>1195089+392957</f>
        <v>1588046</v>
      </c>
      <c r="I275" s="30">
        <f>G275-H275</f>
        <v>27279713</v>
      </c>
      <c r="J275" t="s">
        <v>26</v>
      </c>
      <c r="K275">
        <v>980818</v>
      </c>
    </row>
    <row r="276">
      <c r="A276" s="25">
        <v>2024</v>
      </c>
      <c r="B276" t="s">
        <v>164</v>
      </c>
      <c r="C276" t="s">
        <v>163</v>
      </c>
      <c r="D276" t="s">
        <v>11</v>
      </c>
      <c r="E276" t="s">
        <v>19</v>
      </c>
      <c r="F276">
        <v>43328508</v>
      </c>
      <c r="G276">
        <v>28867759</v>
      </c>
      <c r="H276">
        <f>1195089+392957</f>
        <v>1588046</v>
      </c>
      <c r="I276" s="30">
        <f>G276-H276</f>
        <v>27279713</v>
      </c>
      <c r="J276" t="s">
        <v>43</v>
      </c>
      <c r="K276">
        <v>401063</v>
      </c>
    </row>
    <row r="277">
      <c r="A277" s="25">
        <v>2024</v>
      </c>
      <c r="B277" t="s">
        <v>164</v>
      </c>
      <c r="C277" t="s">
        <v>163</v>
      </c>
      <c r="D277" t="s">
        <v>11</v>
      </c>
      <c r="E277" t="s">
        <v>19</v>
      </c>
      <c r="F277">
        <v>43328508</v>
      </c>
      <c r="G277">
        <v>28867759</v>
      </c>
      <c r="H277">
        <f>1195089+392957</f>
        <v>1588046</v>
      </c>
      <c r="I277" s="30">
        <f>G277-H277</f>
        <v>27279713</v>
      </c>
      <c r="J277" t="s">
        <v>45</v>
      </c>
      <c r="K277">
        <v>288202</v>
      </c>
    </row>
    <row r="278">
      <c r="A278" s="25">
        <v>2024</v>
      </c>
      <c r="B278" t="s">
        <v>164</v>
      </c>
      <c r="C278" t="s">
        <v>163</v>
      </c>
      <c r="D278" t="s">
        <v>11</v>
      </c>
      <c r="E278" t="s">
        <v>19</v>
      </c>
      <c r="F278">
        <v>43328508</v>
      </c>
      <c r="G278">
        <v>28867759</v>
      </c>
      <c r="H278">
        <f>1195089+392957</f>
        <v>1588046</v>
      </c>
      <c r="I278" s="30">
        <f>G278-H278</f>
        <v>27279713</v>
      </c>
      <c r="J278" t="s">
        <v>46</v>
      </c>
      <c r="K278">
        <v>258139</v>
      </c>
    </row>
    <row r="279">
      <c r="A279" s="25">
        <v>2024</v>
      </c>
      <c r="B279" t="s">
        <v>164</v>
      </c>
      <c r="C279" t="s">
        <v>163</v>
      </c>
      <c r="D279" t="s">
        <v>11</v>
      </c>
      <c r="E279" t="s">
        <v>19</v>
      </c>
      <c r="F279">
        <v>43328508</v>
      </c>
      <c r="G279">
        <v>28867759</v>
      </c>
      <c r="H279">
        <f>1195089+392957</f>
        <v>1588046</v>
      </c>
      <c r="I279" s="30">
        <f>G279-H279</f>
        <v>27279713</v>
      </c>
      <c r="J279" t="s">
        <v>44</v>
      </c>
      <c r="K279">
        <v>177167</v>
      </c>
    </row>
    <row r="280">
      <c r="A280" s="25">
        <v>2024</v>
      </c>
      <c r="B280" t="s">
        <v>164</v>
      </c>
      <c r="C280" t="s">
        <v>163</v>
      </c>
      <c r="D280" t="s">
        <v>11</v>
      </c>
      <c r="E280" t="s">
        <v>19</v>
      </c>
      <c r="F280">
        <v>43328508</v>
      </c>
      <c r="G280">
        <v>28867759</v>
      </c>
      <c r="H280">
        <f>1195089+392957</f>
        <v>1588046</v>
      </c>
      <c r="I280" s="30">
        <f>G280-H280</f>
        <v>27279713</v>
      </c>
      <c r="J280" t="s">
        <v>47</v>
      </c>
      <c r="K280">
        <v>119672</v>
      </c>
    </row>
    <row r="281">
      <c r="A281" s="25">
        <v>2024</v>
      </c>
      <c r="B281" t="s">
        <v>164</v>
      </c>
      <c r="C281" t="s">
        <v>163</v>
      </c>
      <c r="D281" t="s">
        <v>11</v>
      </c>
      <c r="E281" t="s">
        <v>19</v>
      </c>
      <c r="F281">
        <v>43328508</v>
      </c>
      <c r="G281">
        <v>28867759</v>
      </c>
      <c r="H281">
        <f>1195089+392957</f>
        <v>1588046</v>
      </c>
      <c r="I281" s="30">
        <f>G281-H281</f>
        <v>27279713</v>
      </c>
      <c r="J281" t="s">
        <v>35</v>
      </c>
      <c r="K281">
        <v>38025</v>
      </c>
    </row>
    <row r="282">
      <c r="A282" s="25">
        <v>2024</v>
      </c>
      <c r="B282" t="s">
        <v>164</v>
      </c>
      <c r="C282" t="s">
        <v>163</v>
      </c>
      <c r="D282" t="s">
        <v>11</v>
      </c>
      <c r="E282" t="s">
        <v>19</v>
      </c>
      <c r="F282">
        <v>43328508</v>
      </c>
      <c r="G282">
        <v>28867759</v>
      </c>
      <c r="H282">
        <f>1195089+392957</f>
        <v>1588046</v>
      </c>
      <c r="I282" s="30">
        <f>G282-H282</f>
        <v>27279713</v>
      </c>
      <c r="J282" t="s">
        <v>14</v>
      </c>
      <c r="K282">
        <v>37808</v>
      </c>
    </row>
    <row r="283">
      <c r="A283" s="25">
        <v>2024</v>
      </c>
      <c r="B283" t="s">
        <v>164</v>
      </c>
      <c r="C283" t="s">
        <v>163</v>
      </c>
      <c r="D283" t="s">
        <v>11</v>
      </c>
      <c r="E283" t="s">
        <v>19</v>
      </c>
      <c r="F283">
        <v>43328508</v>
      </c>
      <c r="G283">
        <v>28867759</v>
      </c>
      <c r="H283">
        <f>1195089+392957</f>
        <v>1588046</v>
      </c>
      <c r="I283" s="30">
        <f>G283-H283</f>
        <v>27279713</v>
      </c>
      <c r="J283" t="s">
        <v>33</v>
      </c>
      <c r="K283">
        <v>26343</v>
      </c>
    </row>
    <row r="284">
      <c r="A284" s="25">
        <v>2024</v>
      </c>
      <c r="B284" t="s">
        <v>164</v>
      </c>
      <c r="C284" t="s">
        <v>163</v>
      </c>
      <c r="D284" t="s">
        <v>11</v>
      </c>
      <c r="E284" t="s">
        <v>19</v>
      </c>
      <c r="F284">
        <v>43328508</v>
      </c>
      <c r="G284">
        <v>28867759</v>
      </c>
      <c r="H284">
        <f>1195089+392957</f>
        <v>1588046</v>
      </c>
      <c r="I284" s="30">
        <f>G284-H284</f>
        <v>27279713</v>
      </c>
      <c r="J284" t="s">
        <v>49</v>
      </c>
      <c r="K284">
        <v>23217</v>
      </c>
    </row>
    <row r="285">
      <c r="A285" s="25">
        <v>2024</v>
      </c>
      <c r="B285" t="s">
        <v>164</v>
      </c>
      <c r="C285" t="s">
        <v>163</v>
      </c>
      <c r="D285" t="s">
        <v>11</v>
      </c>
      <c r="E285" t="s">
        <v>19</v>
      </c>
      <c r="F285">
        <v>43328508</v>
      </c>
      <c r="G285">
        <v>28867759</v>
      </c>
      <c r="H285">
        <f>1195089+392957</f>
        <v>1588046</v>
      </c>
      <c r="I285" s="30">
        <f>G285-H285</f>
        <v>27279713</v>
      </c>
      <c r="J285" t="s">
        <v>48</v>
      </c>
      <c r="K285">
        <v>18672</v>
      </c>
    </row>
    <row r="286">
      <c r="A286" s="27">
        <v>2024</v>
      </c>
      <c r="B286" s="28" t="s">
        <v>164</v>
      </c>
      <c r="C286" s="28" t="s">
        <v>163</v>
      </c>
      <c r="D286" s="28" t="s">
        <v>11</v>
      </c>
      <c r="E286" s="28" t="s">
        <v>19</v>
      </c>
      <c r="F286" s="28">
        <v>43328508</v>
      </c>
      <c r="G286" s="28">
        <v>28867759</v>
      </c>
      <c r="H286" s="28">
        <f>1195089+392957</f>
        <v>1588046</v>
      </c>
      <c r="I286" s="32">
        <f>G286-H286</f>
        <v>27279713</v>
      </c>
      <c r="J286" s="28" t="s">
        <v>32</v>
      </c>
      <c r="K286" s="28">
        <v>8361</v>
      </c>
    </row>
    <row r="287">
      <c r="A287" s="22">
        <v>2024</v>
      </c>
      <c r="B287" s="23" t="s">
        <v>164</v>
      </c>
      <c r="C287" s="23" t="s">
        <v>165</v>
      </c>
      <c r="D287" s="23">
        <v>4301</v>
      </c>
      <c r="E287" s="23" t="s">
        <v>13</v>
      </c>
      <c r="F287" s="23">
        <v>102716</v>
      </c>
      <c r="G287" s="23">
        <v>74866</v>
      </c>
      <c r="H287" s="23">
        <f>1020+448</f>
        <v>1468</v>
      </c>
      <c r="I287" s="31">
        <f>G287-H287</f>
        <v>73398</v>
      </c>
      <c r="J287" s="23" t="s">
        <v>31</v>
      </c>
      <c r="K287" s="23">
        <v>27013</v>
      </c>
    </row>
    <row r="288">
      <c r="A288" s="25">
        <v>2024</v>
      </c>
      <c r="B288" t="s">
        <v>164</v>
      </c>
      <c r="C288" t="s">
        <v>165</v>
      </c>
      <c r="D288">
        <v>4301</v>
      </c>
      <c r="E288" t="s">
        <v>13</v>
      </c>
      <c r="F288">
        <v>102716</v>
      </c>
      <c r="G288">
        <v>74866</v>
      </c>
      <c r="H288">
        <f>1020+448</f>
        <v>1468</v>
      </c>
      <c r="I288" s="30">
        <f>G288-H288</f>
        <v>73398</v>
      </c>
      <c r="J288" t="s">
        <v>37</v>
      </c>
      <c r="K288">
        <v>25091</v>
      </c>
    </row>
    <row r="289">
      <c r="A289" s="25">
        <v>2024</v>
      </c>
      <c r="B289" t="s">
        <v>164</v>
      </c>
      <c r="C289" t="s">
        <v>165</v>
      </c>
      <c r="D289">
        <v>4301</v>
      </c>
      <c r="E289" t="s">
        <v>13</v>
      </c>
      <c r="F289">
        <v>102716</v>
      </c>
      <c r="G289">
        <v>74866</v>
      </c>
      <c r="H289">
        <f>1020+448</f>
        <v>1468</v>
      </c>
      <c r="I289" s="30">
        <f>G289-H289</f>
        <v>73398</v>
      </c>
      <c r="J289" t="s">
        <v>41</v>
      </c>
      <c r="K289">
        <v>13694</v>
      </c>
    </row>
    <row r="290">
      <c r="A290" s="25">
        <v>2024</v>
      </c>
      <c r="B290" t="s">
        <v>164</v>
      </c>
      <c r="C290" t="s">
        <v>165</v>
      </c>
      <c r="D290">
        <v>4301</v>
      </c>
      <c r="E290" t="s">
        <v>13</v>
      </c>
      <c r="F290">
        <v>102716</v>
      </c>
      <c r="G290">
        <v>74866</v>
      </c>
      <c r="H290">
        <f>1020+448</f>
        <v>1468</v>
      </c>
      <c r="I290" s="30">
        <f>G290-H290</f>
        <v>73398</v>
      </c>
      <c r="J290" t="s">
        <v>36</v>
      </c>
      <c r="K290">
        <v>6932</v>
      </c>
    </row>
    <row r="291">
      <c r="A291" s="27">
        <v>2024</v>
      </c>
      <c r="B291" s="28" t="s">
        <v>164</v>
      </c>
      <c r="C291" s="28" t="s">
        <v>165</v>
      </c>
      <c r="D291" s="28">
        <v>4301</v>
      </c>
      <c r="E291" s="28" t="s">
        <v>13</v>
      </c>
      <c r="F291" s="28">
        <v>102716</v>
      </c>
      <c r="G291" s="28">
        <v>74866</v>
      </c>
      <c r="H291" s="28">
        <f>1020+448</f>
        <v>1468</v>
      </c>
      <c r="I291" s="32">
        <f>G291-H291</f>
        <v>73398</v>
      </c>
      <c r="J291" s="28" t="s">
        <v>23</v>
      </c>
      <c r="K291" s="28">
        <v>668</v>
      </c>
    </row>
    <row r="292">
      <c r="A292" s="22">
        <v>2024</v>
      </c>
      <c r="B292" s="23" t="s">
        <v>164</v>
      </c>
      <c r="C292" s="23" t="s">
        <v>165</v>
      </c>
      <c r="D292" s="23">
        <v>4301</v>
      </c>
      <c r="E292" s="23" t="s">
        <v>19</v>
      </c>
      <c r="F292" s="23">
        <v>102716</v>
      </c>
      <c r="G292" s="23">
        <v>73995</v>
      </c>
      <c r="H292" s="23">
        <f>3408+1075</f>
        <v>4483</v>
      </c>
      <c r="I292" s="31">
        <f>G292-H292</f>
        <v>69512</v>
      </c>
      <c r="J292" s="23" t="s">
        <v>31</v>
      </c>
      <c r="K292" s="23">
        <v>42828</v>
      </c>
    </row>
    <row r="293">
      <c r="A293" s="27">
        <v>2024</v>
      </c>
      <c r="B293" s="28" t="s">
        <v>164</v>
      </c>
      <c r="C293" s="28" t="s">
        <v>165</v>
      </c>
      <c r="D293" s="28">
        <v>4301</v>
      </c>
      <c r="E293" s="28" t="s">
        <v>19</v>
      </c>
      <c r="F293" s="28">
        <v>102716</v>
      </c>
      <c r="G293" s="28">
        <v>73995</v>
      </c>
      <c r="H293" s="28">
        <f>3408+1075</f>
        <v>4483</v>
      </c>
      <c r="I293" s="32">
        <f>G293-H293</f>
        <v>69512</v>
      </c>
      <c r="J293" s="28" t="s">
        <v>37</v>
      </c>
      <c r="K293" s="28">
        <v>26684</v>
      </c>
    </row>
    <row r="294">
      <c r="A294" s="22">
        <v>2024</v>
      </c>
      <c r="B294" s="23" t="s">
        <v>164</v>
      </c>
      <c r="C294" s="23" t="s">
        <v>165</v>
      </c>
      <c r="D294" s="23">
        <v>4302</v>
      </c>
      <c r="E294" s="23" t="s">
        <v>13</v>
      </c>
      <c r="F294" s="23">
        <v>79390</v>
      </c>
      <c r="G294" s="23">
        <v>57073</v>
      </c>
      <c r="H294" s="23">
        <f>834+481</f>
        <v>1315</v>
      </c>
      <c r="I294" s="31">
        <f>G294-H294</f>
        <v>55758</v>
      </c>
      <c r="J294" s="23" t="s">
        <v>31</v>
      </c>
      <c r="K294" s="23">
        <v>21573</v>
      </c>
    </row>
    <row r="295">
      <c r="A295" s="25">
        <v>2024</v>
      </c>
      <c r="B295" t="s">
        <v>164</v>
      </c>
      <c r="C295" t="s">
        <v>165</v>
      </c>
      <c r="D295">
        <v>4302</v>
      </c>
      <c r="E295" t="s">
        <v>13</v>
      </c>
      <c r="F295">
        <v>79390</v>
      </c>
      <c r="G295">
        <v>57073</v>
      </c>
      <c r="H295">
        <f>834+481</f>
        <v>1315</v>
      </c>
      <c r="I295" s="30">
        <f>G295-H295</f>
        <v>55758</v>
      </c>
      <c r="J295" t="s">
        <v>37</v>
      </c>
      <c r="K295">
        <v>17885</v>
      </c>
    </row>
    <row r="296">
      <c r="A296" s="25">
        <v>2024</v>
      </c>
      <c r="B296" t="s">
        <v>164</v>
      </c>
      <c r="C296" t="s">
        <v>165</v>
      </c>
      <c r="D296">
        <v>4302</v>
      </c>
      <c r="E296" t="s">
        <v>13</v>
      </c>
      <c r="F296">
        <v>79390</v>
      </c>
      <c r="G296">
        <v>57073</v>
      </c>
      <c r="H296">
        <f>834+481</f>
        <v>1315</v>
      </c>
      <c r="I296" s="30">
        <f>G296-H296</f>
        <v>55758</v>
      </c>
      <c r="J296" t="s">
        <v>41</v>
      </c>
      <c r="K296">
        <v>10898</v>
      </c>
    </row>
    <row r="297">
      <c r="A297" s="25">
        <v>2024</v>
      </c>
      <c r="B297" t="s">
        <v>164</v>
      </c>
      <c r="C297" t="s">
        <v>165</v>
      </c>
      <c r="D297">
        <v>4302</v>
      </c>
      <c r="E297" t="s">
        <v>13</v>
      </c>
      <c r="F297">
        <v>79390</v>
      </c>
      <c r="G297">
        <v>57073</v>
      </c>
      <c r="H297">
        <f>834+481</f>
        <v>1315</v>
      </c>
      <c r="I297" s="30">
        <f>G297-H297</f>
        <v>55758</v>
      </c>
      <c r="J297" t="s">
        <v>36</v>
      </c>
      <c r="K297">
        <v>4607</v>
      </c>
    </row>
    <row r="298">
      <c r="A298" s="27">
        <v>2024</v>
      </c>
      <c r="B298" s="28" t="s">
        <v>164</v>
      </c>
      <c r="C298" s="28" t="s">
        <v>165</v>
      </c>
      <c r="D298" s="28">
        <v>4302</v>
      </c>
      <c r="E298" s="28" t="s">
        <v>13</v>
      </c>
      <c r="F298" s="28">
        <v>79390</v>
      </c>
      <c r="G298" s="28">
        <v>57073</v>
      </c>
      <c r="H298" s="28">
        <f>834+481</f>
        <v>1315</v>
      </c>
      <c r="I298" s="32">
        <f>G298-H298</f>
        <v>55758</v>
      </c>
      <c r="J298" s="28" t="s">
        <v>23</v>
      </c>
      <c r="K298" s="28">
        <v>795</v>
      </c>
    </row>
    <row r="299">
      <c r="A299" s="22">
        <v>2024</v>
      </c>
      <c r="B299" s="23" t="s">
        <v>164</v>
      </c>
      <c r="C299" s="23" t="s">
        <v>165</v>
      </c>
      <c r="D299" s="23">
        <v>4302</v>
      </c>
      <c r="E299" s="23" t="s">
        <v>19</v>
      </c>
      <c r="F299" s="23">
        <v>79392</v>
      </c>
      <c r="G299" s="23">
        <v>56232</v>
      </c>
      <c r="H299" s="23">
        <f>1867+703</f>
        <v>2570</v>
      </c>
      <c r="I299" s="31">
        <f>G299-H299</f>
        <v>53662</v>
      </c>
      <c r="J299" s="23" t="s">
        <v>31</v>
      </c>
      <c r="K299" s="23">
        <v>34629</v>
      </c>
    </row>
    <row r="300">
      <c r="A300" s="27">
        <v>2024</v>
      </c>
      <c r="B300" s="28" t="s">
        <v>164</v>
      </c>
      <c r="C300" s="28" t="s">
        <v>165</v>
      </c>
      <c r="D300" s="28">
        <v>4302</v>
      </c>
      <c r="E300" s="28" t="s">
        <v>19</v>
      </c>
      <c r="F300" s="28">
        <v>79392</v>
      </c>
      <c r="G300" s="28">
        <v>56232</v>
      </c>
      <c r="H300" s="28">
        <f>1867+703</f>
        <v>2570</v>
      </c>
      <c r="I300" s="32">
        <f>G300-H300</f>
        <v>53662</v>
      </c>
      <c r="J300" s="28" t="s">
        <v>37</v>
      </c>
      <c r="K300" s="28">
        <v>19033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>
      <pane activePane="bottomLeft" ySplit="1" topLeftCell="A2" state="frozen"/>
      <selection activeCell="C37" activeCellId="0" sqref="C37" pane="bottomLeft"/>
    </sheetView>
  </sheetViews>
  <sheetFormatPr defaultRowHeight="15" outlineLevelRow="0" outlineLevelCol="0"/>
  <cols>
    <col min="2" max="2" width="9.54296875" customWidth="1"/>
    <col min="3" max="3" width="20.453125" customWidth="1" bestFit="1"/>
    <col min="4" max="4" width="7" customWidth="1" bestFit="1"/>
    <col min="5" max="5" width="23.1796875" customWidth="1" bestFit="1"/>
    <col min="6" max="6" width="3.54296875" customWidth="1"/>
    <col min="7" max="7" width="20.08984375" customWidth="1" bestFit="1"/>
    <col min="8" max="8" width="3.81640625" customWidth="1"/>
    <col min="9" max="9" width="13" customWidth="1"/>
    <col min="10" max="10" width="13" customWidth="1"/>
    <col min="11" max="11" width="13" customWidth="1" bestFit="1"/>
    <col min="12" max="12" width="13" customWidth="1"/>
    <col min="13" max="13" width="20.453125" customWidth="1" bestFit="1"/>
  </cols>
  <sheetData>
    <row r="1">
      <c r="A1" s="22" t="s">
        <v>0</v>
      </c>
      <c r="B1" s="23" t="s">
        <v>5</v>
      </c>
      <c r="C1" s="23" t="s">
        <v>156</v>
      </c>
      <c r="D1" s="23" t="s">
        <v>262</v>
      </c>
      <c r="E1" s="66" t="s">
        <v>264</v>
      </c>
      <c r="G1" t="s">
        <v>125</v>
      </c>
    </row>
    <row r="2">
      <c r="A2" s="22">
        <v>2007</v>
      </c>
      <c r="B2" s="109" t="s">
        <v>23</v>
      </c>
      <c r="C2" s="22" t="s">
        <v>229</v>
      </c>
      <c r="D2" s="23"/>
      <c r="E2" s="66">
        <v>1</v>
      </c>
      <c r="F2"/>
      <c r="G2" s="82" t="s">
        <v>128</v>
      </c>
      <c r="H2"/>
    </row>
    <row r="3">
      <c r="A3" s="25">
        <v>2007</v>
      </c>
      <c r="B3" s="1" t="s">
        <v>40</v>
      </c>
      <c r="C3" t="s">
        <v>157</v>
      </c>
      <c r="D3">
        <v>24</v>
      </c>
      <c r="E3" s="68">
        <v>1</v>
      </c>
      <c r="F3"/>
      <c r="G3" s="1" t="s">
        <v>126</v>
      </c>
      <c r="H3"/>
    </row>
    <row r="4">
      <c r="A4" s="25">
        <v>2007</v>
      </c>
      <c r="B4" s="75" t="s">
        <v>43</v>
      </c>
      <c r="C4" t="s">
        <v>134</v>
      </c>
      <c r="E4" s="68">
        <v>1</v>
      </c>
      <c r="F4"/>
      <c r="G4" s="70" t="s">
        <v>130</v>
      </c>
    </row>
    <row r="5">
      <c r="A5" s="25">
        <v>2007</v>
      </c>
      <c r="B5" s="75" t="s">
        <v>33</v>
      </c>
      <c r="C5" t="s">
        <v>134</v>
      </c>
      <c r="D5">
        <v>186</v>
      </c>
      <c r="E5" s="68">
        <v>1</v>
      </c>
      <c r="F5"/>
      <c r="G5" s="83" t="s">
        <v>133</v>
      </c>
    </row>
    <row r="6">
      <c r="A6" s="25">
        <v>2007</v>
      </c>
      <c r="B6" s="75" t="s">
        <v>50</v>
      </c>
      <c r="C6" t="s">
        <v>134</v>
      </c>
      <c r="E6" s="68">
        <v>1</v>
      </c>
      <c r="F6"/>
      <c r="G6" s="2" t="s">
        <v>136</v>
      </c>
    </row>
    <row r="7">
      <c r="A7" s="25">
        <v>2007</v>
      </c>
      <c r="B7" s="70" t="s">
        <v>51</v>
      </c>
      <c r="C7" t="s">
        <v>131</v>
      </c>
      <c r="D7">
        <v>18</v>
      </c>
      <c r="E7" s="68">
        <v>1</v>
      </c>
      <c r="F7"/>
      <c r="G7" s="3" t="s">
        <v>138</v>
      </c>
    </row>
    <row r="8">
      <c r="A8" s="25">
        <v>2007</v>
      </c>
      <c r="B8" s="2" t="s">
        <v>35</v>
      </c>
      <c r="C8" t="s">
        <v>136</v>
      </c>
      <c r="E8" s="68">
        <v>1</v>
      </c>
      <c r="F8"/>
      <c r="G8" s="80" t="s">
        <v>139</v>
      </c>
    </row>
    <row r="9">
      <c r="A9" s="25">
        <v>2007</v>
      </c>
      <c r="B9" s="2" t="s">
        <v>242</v>
      </c>
      <c r="C9" t="s">
        <v>136</v>
      </c>
      <c r="E9" s="68">
        <v>1</v>
      </c>
      <c r="F9"/>
    </row>
    <row r="10">
      <c r="A10" s="25">
        <v>2007</v>
      </c>
      <c r="B10" s="2" t="s">
        <v>243</v>
      </c>
      <c r="C10" t="s">
        <v>136</v>
      </c>
      <c r="E10" s="68">
        <v>1</v>
      </c>
      <c r="F10"/>
    </row>
    <row r="11">
      <c r="A11" s="25">
        <v>2007</v>
      </c>
      <c r="B11" s="3" t="s">
        <v>21</v>
      </c>
      <c r="C11" t="s">
        <v>138</v>
      </c>
      <c r="E11" s="68">
        <v>1</v>
      </c>
      <c r="F11"/>
    </row>
    <row r="12">
      <c r="A12" s="25">
        <v>2007</v>
      </c>
      <c r="B12" s="3" t="s">
        <v>26</v>
      </c>
      <c r="C12" t="s">
        <v>138</v>
      </c>
      <c r="E12" s="68">
        <v>1</v>
      </c>
      <c r="F12"/>
      <c r="G12" s="98"/>
    </row>
    <row r="13">
      <c r="A13" s="25">
        <v>2007</v>
      </c>
      <c r="B13" s="80" t="s">
        <v>244</v>
      </c>
      <c r="C13" t="s">
        <v>259</v>
      </c>
      <c r="E13" s="68">
        <v>1</v>
      </c>
      <c r="F13"/>
      <c r="G13" s="98"/>
    </row>
    <row r="14">
      <c r="A14" s="27">
        <v>2007</v>
      </c>
      <c r="B14" s="81" t="s">
        <v>20</v>
      </c>
      <c r="C14" s="28" t="s">
        <v>259</v>
      </c>
      <c r="D14" s="28"/>
      <c r="E14" s="68">
        <v>1</v>
      </c>
      <c r="F14"/>
      <c r="G14" s="98"/>
    </row>
    <row r="15">
      <c r="A15" s="22">
        <v>2012</v>
      </c>
      <c r="B15" s="109" t="s">
        <v>23</v>
      </c>
      <c r="C15" s="23" t="s">
        <v>229</v>
      </c>
      <c r="D15" s="23"/>
      <c r="E15" s="66">
        <v>1</v>
      </c>
      <c r="F15"/>
      <c r="G15" s="98"/>
    </row>
    <row r="16">
      <c r="A16" s="25">
        <v>2012</v>
      </c>
      <c r="B16" s="90" t="s">
        <v>22</v>
      </c>
      <c r="C16" t="s">
        <v>157</v>
      </c>
      <c r="D16">
        <v>7</v>
      </c>
      <c r="E16" s="68">
        <f>D16/(D16+D17)</f>
        <v>0.4666666666666667</v>
      </c>
      <c r="F16"/>
      <c r="G16" s="98"/>
    </row>
    <row r="17">
      <c r="A17" s="25">
        <v>2012</v>
      </c>
      <c r="B17" s="90" t="s">
        <v>22</v>
      </c>
      <c r="C17" t="s">
        <v>38</v>
      </c>
      <c r="D17">
        <v>8</v>
      </c>
      <c r="E17" s="68">
        <f>D17/(D16+D17)</f>
        <v>0.5333333333333333</v>
      </c>
      <c r="G17" s="98"/>
    </row>
    <row r="18">
      <c r="A18" s="25">
        <v>2012</v>
      </c>
      <c r="B18" s="91" t="s">
        <v>33</v>
      </c>
      <c r="C18" t="s">
        <v>134</v>
      </c>
      <c r="D18">
        <v>295</v>
      </c>
      <c r="E18" s="68">
        <v>1</v>
      </c>
      <c r="F18"/>
      <c r="G18" s="98"/>
    </row>
    <row r="19">
      <c r="A19" s="25">
        <v>2012</v>
      </c>
      <c r="B19" s="91" t="s">
        <v>50</v>
      </c>
      <c r="C19" t="s">
        <v>134</v>
      </c>
      <c r="E19" s="68">
        <v>1</v>
      </c>
      <c r="F19"/>
      <c r="G19" s="7"/>
    </row>
    <row r="20">
      <c r="A20" s="25">
        <v>2012</v>
      </c>
      <c r="B20" s="91" t="s">
        <v>43</v>
      </c>
      <c r="C20" t="s">
        <v>134</v>
      </c>
      <c r="E20" s="68">
        <v>1</v>
      </c>
      <c r="F20"/>
    </row>
    <row r="21">
      <c r="A21" s="25">
        <v>2012</v>
      </c>
      <c r="B21" s="92" t="s">
        <v>51</v>
      </c>
      <c r="C21" t="s">
        <v>131</v>
      </c>
      <c r="D21">
        <v>18</v>
      </c>
      <c r="E21" s="68">
        <v>1</v>
      </c>
      <c r="F21"/>
    </row>
    <row r="22">
      <c r="A22" s="25">
        <v>2012</v>
      </c>
      <c r="B22" s="93" t="s">
        <v>45</v>
      </c>
      <c r="C22" t="s">
        <v>136</v>
      </c>
      <c r="E22" s="68">
        <v>1</v>
      </c>
      <c r="F22"/>
    </row>
    <row r="23">
      <c r="A23" s="25">
        <v>2012</v>
      </c>
      <c r="B23" s="93" t="s">
        <v>14</v>
      </c>
      <c r="C23" t="s">
        <v>136</v>
      </c>
      <c r="E23" s="68">
        <v>1</v>
      </c>
      <c r="F23"/>
    </row>
    <row r="24">
      <c r="A24" s="25">
        <v>2012</v>
      </c>
      <c r="B24" s="93" t="s">
        <v>24</v>
      </c>
      <c r="C24" t="s">
        <v>136</v>
      </c>
      <c r="E24" s="68">
        <v>1</v>
      </c>
      <c r="F24"/>
    </row>
    <row r="25">
      <c r="A25" s="25">
        <v>2012</v>
      </c>
      <c r="B25" s="93" t="s">
        <v>25</v>
      </c>
      <c r="C25" t="s">
        <v>136</v>
      </c>
      <c r="E25" s="68">
        <v>1</v>
      </c>
    </row>
    <row r="26">
      <c r="A26" s="25">
        <v>2012</v>
      </c>
      <c r="B26" s="93" t="s">
        <v>84</v>
      </c>
      <c r="C26" t="s">
        <v>136</v>
      </c>
      <c r="E26" s="68">
        <v>1</v>
      </c>
    </row>
    <row r="27">
      <c r="A27" s="25">
        <v>2012</v>
      </c>
      <c r="B27" s="93" t="s">
        <v>85</v>
      </c>
      <c r="C27" t="s">
        <v>136</v>
      </c>
      <c r="E27" s="68">
        <v>1</v>
      </c>
    </row>
    <row r="28">
      <c r="A28" s="25">
        <v>2012</v>
      </c>
      <c r="B28" s="93" t="s">
        <v>86</v>
      </c>
      <c r="C28" t="s">
        <v>136</v>
      </c>
      <c r="E28" s="68">
        <v>1</v>
      </c>
    </row>
    <row r="29">
      <c r="A29" s="25">
        <v>2012</v>
      </c>
      <c r="B29" s="94" t="s">
        <v>21</v>
      </c>
      <c r="C29" t="s">
        <v>138</v>
      </c>
      <c r="E29" s="68">
        <v>1</v>
      </c>
    </row>
    <row r="30">
      <c r="A30" s="25">
        <v>2012</v>
      </c>
      <c r="B30" s="94" t="s">
        <v>26</v>
      </c>
      <c r="C30" t="s">
        <v>138</v>
      </c>
      <c r="E30" s="68">
        <v>1</v>
      </c>
    </row>
    <row r="31">
      <c r="A31" s="25">
        <v>2012</v>
      </c>
      <c r="B31" s="95" t="s">
        <v>20</v>
      </c>
      <c r="C31" t="s">
        <v>259</v>
      </c>
      <c r="E31" s="68">
        <v>1</v>
      </c>
    </row>
    <row r="32">
      <c r="A32" s="27">
        <v>2012</v>
      </c>
      <c r="B32" s="96" t="s">
        <v>49</v>
      </c>
      <c r="C32" s="28" t="s">
        <v>259</v>
      </c>
      <c r="D32" s="28"/>
      <c r="E32" s="68">
        <v>1</v>
      </c>
    </row>
    <row r="33">
      <c r="A33" s="22">
        <v>2017</v>
      </c>
      <c r="B33" s="109" t="s">
        <v>23</v>
      </c>
      <c r="C33" s="23" t="s">
        <v>229</v>
      </c>
      <c r="D33" s="23"/>
      <c r="E33" s="66">
        <v>1</v>
      </c>
    </row>
    <row r="34">
      <c r="A34" s="25">
        <v>2017</v>
      </c>
      <c r="B34" s="90" t="s">
        <v>40</v>
      </c>
      <c r="C34" t="s">
        <v>157</v>
      </c>
      <c r="D34">
        <v>16</v>
      </c>
      <c r="E34" s="68">
        <v>1</v>
      </c>
    </row>
    <row r="35">
      <c r="A35" s="25">
        <v>2017</v>
      </c>
      <c r="B35" s="90" t="s">
        <v>32</v>
      </c>
      <c r="C35" t="s">
        <v>38</v>
      </c>
      <c r="D35">
        <v>17</v>
      </c>
      <c r="E35" s="68">
        <v>1</v>
      </c>
    </row>
    <row r="36">
      <c r="A36" s="25">
        <v>2017</v>
      </c>
      <c r="B36" s="91" t="s">
        <v>33</v>
      </c>
      <c r="C36" t="s">
        <v>134</v>
      </c>
      <c r="D36">
        <v>28</v>
      </c>
      <c r="E36" s="68">
        <v>1</v>
      </c>
    </row>
    <row r="37">
      <c r="A37" s="25">
        <v>2017</v>
      </c>
      <c r="B37" s="91" t="s">
        <v>50</v>
      </c>
      <c r="C37" t="s">
        <v>134</v>
      </c>
      <c r="E37" s="68">
        <v>1</v>
      </c>
    </row>
    <row r="38">
      <c r="A38" s="25">
        <v>2017</v>
      </c>
      <c r="B38" s="91" t="s">
        <v>43</v>
      </c>
      <c r="C38" t="s">
        <v>134</v>
      </c>
      <c r="E38" s="68">
        <v>1</v>
      </c>
    </row>
    <row r="39">
      <c r="A39" s="25">
        <v>2017</v>
      </c>
      <c r="B39" s="97" t="s">
        <v>14</v>
      </c>
      <c r="C39" t="s">
        <v>131</v>
      </c>
      <c r="D39">
        <v>3</v>
      </c>
      <c r="E39" s="68">
        <v>1</v>
      </c>
    </row>
    <row r="40">
      <c r="A40" s="25">
        <v>2017</v>
      </c>
      <c r="B40" s="93" t="s">
        <v>35</v>
      </c>
      <c r="C40" t="s">
        <v>136</v>
      </c>
      <c r="E40" s="68">
        <v>1</v>
      </c>
    </row>
    <row r="41">
      <c r="A41" s="25">
        <v>2017</v>
      </c>
      <c r="B41" s="93" t="s">
        <v>45</v>
      </c>
      <c r="C41" t="s">
        <v>136</v>
      </c>
      <c r="E41" s="68">
        <v>1</v>
      </c>
    </row>
    <row r="42">
      <c r="A42" s="25">
        <v>2017</v>
      </c>
      <c r="B42" s="93" t="s">
        <v>30</v>
      </c>
      <c r="C42" t="s">
        <v>136</v>
      </c>
      <c r="E42" s="68">
        <v>1</v>
      </c>
    </row>
    <row r="43">
      <c r="A43" s="25">
        <v>2017</v>
      </c>
      <c r="B43" s="93" t="s">
        <v>95</v>
      </c>
      <c r="C43" t="s">
        <v>136</v>
      </c>
      <c r="E43" s="68">
        <v>1</v>
      </c>
    </row>
    <row r="44">
      <c r="A44" s="25">
        <v>2017</v>
      </c>
      <c r="B44" s="93" t="s">
        <v>47</v>
      </c>
      <c r="C44" t="s">
        <v>136</v>
      </c>
      <c r="E44" s="68">
        <v>1</v>
      </c>
    </row>
    <row r="45">
      <c r="A45" s="25">
        <v>2017</v>
      </c>
      <c r="B45" s="94" t="s">
        <v>31</v>
      </c>
      <c r="C45" t="s">
        <v>138</v>
      </c>
      <c r="E45" s="68">
        <v>1</v>
      </c>
    </row>
    <row r="46">
      <c r="A46" s="25">
        <v>2017</v>
      </c>
      <c r="B46" s="94" t="s">
        <v>26</v>
      </c>
      <c r="C46" t="s">
        <v>138</v>
      </c>
      <c r="E46" s="68">
        <v>1</v>
      </c>
    </row>
    <row r="47">
      <c r="A47" s="25">
        <v>2017</v>
      </c>
      <c r="B47" s="95" t="s">
        <v>34</v>
      </c>
      <c r="C47" t="s">
        <v>259</v>
      </c>
      <c r="E47" s="68">
        <v>1</v>
      </c>
    </row>
    <row r="48">
      <c r="A48" s="25">
        <v>2017</v>
      </c>
      <c r="B48" s="95" t="s">
        <v>20</v>
      </c>
      <c r="C48" t="s">
        <v>259</v>
      </c>
      <c r="E48" s="68">
        <v>1</v>
      </c>
    </row>
    <row r="49">
      <c r="A49" s="27">
        <v>2017</v>
      </c>
      <c r="B49" s="96" t="s">
        <v>49</v>
      </c>
      <c r="C49" s="28" t="s">
        <v>259</v>
      </c>
      <c r="D49" s="28"/>
      <c r="E49" s="68">
        <v>1</v>
      </c>
    </row>
    <row r="50">
      <c r="A50" s="22">
        <v>2022</v>
      </c>
      <c r="B50" s="84" t="s">
        <v>98</v>
      </c>
      <c r="C50" s="23" t="s">
        <v>229</v>
      </c>
      <c r="D50" s="23"/>
      <c r="E50" s="66">
        <v>1</v>
      </c>
    </row>
    <row r="51">
      <c r="A51" s="25">
        <v>2022</v>
      </c>
      <c r="B51" s="1" t="s">
        <v>99</v>
      </c>
      <c r="C51" t="s">
        <v>157</v>
      </c>
      <c r="D51">
        <v>22</v>
      </c>
      <c r="E51" s="68">
        <f>D51/(D51+D52+D53+D54)</f>
        <v>0.14965986394557823</v>
      </c>
    </row>
    <row r="52">
      <c r="A52" s="25">
        <v>2022</v>
      </c>
      <c r="B52" s="1" t="s">
        <v>99</v>
      </c>
      <c r="C52" t="s">
        <v>38</v>
      </c>
      <c r="D52">
        <v>75</v>
      </c>
      <c r="E52" s="68">
        <f>D52/(D51+D52+D53+D54)</f>
        <v>0.5102040816326531</v>
      </c>
    </row>
    <row r="53">
      <c r="A53" s="25">
        <v>2022</v>
      </c>
      <c r="B53" s="1" t="s">
        <v>99</v>
      </c>
      <c r="C53" t="s">
        <v>134</v>
      </c>
      <c r="D53">
        <v>27</v>
      </c>
      <c r="E53" s="68">
        <f>D53/(D51+D52+D53+D54)</f>
        <v>0.1836734693877551</v>
      </c>
    </row>
    <row r="54">
      <c r="A54" s="25">
        <v>2022</v>
      </c>
      <c r="B54" s="1" t="s">
        <v>99</v>
      </c>
      <c r="C54" t="s">
        <v>131</v>
      </c>
      <c r="D54">
        <v>23</v>
      </c>
      <c r="E54" s="68">
        <f>D54/(D51+D52+D53+D54)</f>
        <v>0.1564625850340136</v>
      </c>
    </row>
    <row r="55">
      <c r="A55" s="25">
        <v>2022</v>
      </c>
      <c r="B55" s="75" t="s">
        <v>50</v>
      </c>
      <c r="C55" t="s">
        <v>134</v>
      </c>
      <c r="E55" s="68">
        <v>1</v>
      </c>
    </row>
    <row r="56">
      <c r="A56" s="25">
        <v>2022</v>
      </c>
      <c r="B56" s="75" t="s">
        <v>43</v>
      </c>
      <c r="C56" t="s">
        <v>134</v>
      </c>
      <c r="E56" s="68">
        <v>1</v>
      </c>
    </row>
    <row r="57">
      <c r="A57" s="25">
        <v>2022</v>
      </c>
      <c r="B57" s="88" t="s">
        <v>14</v>
      </c>
      <c r="C57" t="s">
        <v>131</v>
      </c>
      <c r="E57" s="68">
        <v>1</v>
      </c>
    </row>
    <row r="58">
      <c r="A58" s="25">
        <v>2022</v>
      </c>
      <c r="B58" s="2" t="s">
        <v>35</v>
      </c>
      <c r="C58" t="s">
        <v>136</v>
      </c>
      <c r="E58" s="68">
        <v>1</v>
      </c>
    </row>
    <row r="59">
      <c r="A59" s="25">
        <v>2022</v>
      </c>
      <c r="B59" s="2" t="s">
        <v>45</v>
      </c>
      <c r="C59" t="s">
        <v>136</v>
      </c>
      <c r="E59" s="68">
        <v>1</v>
      </c>
    </row>
    <row r="60">
      <c r="A60" s="25">
        <v>2022</v>
      </c>
      <c r="B60" s="2" t="s">
        <v>36</v>
      </c>
      <c r="C60" t="s">
        <v>136</v>
      </c>
      <c r="E60" s="68">
        <v>1</v>
      </c>
    </row>
    <row r="61">
      <c r="A61" s="25">
        <v>2022</v>
      </c>
      <c r="B61" s="2" t="s">
        <v>44</v>
      </c>
      <c r="C61" t="s">
        <v>136</v>
      </c>
      <c r="E61" s="68">
        <v>1</v>
      </c>
    </row>
    <row r="62">
      <c r="A62" s="25">
        <v>2022</v>
      </c>
      <c r="B62" s="2" t="s">
        <v>47</v>
      </c>
      <c r="C62" t="s">
        <v>136</v>
      </c>
      <c r="E62" s="68">
        <v>1</v>
      </c>
    </row>
    <row r="63">
      <c r="A63" s="25">
        <v>2022</v>
      </c>
      <c r="B63" s="3" t="s">
        <v>31</v>
      </c>
      <c r="C63" t="s">
        <v>138</v>
      </c>
      <c r="E63" s="68">
        <v>1</v>
      </c>
    </row>
    <row r="64">
      <c r="A64" s="25">
        <v>2022</v>
      </c>
      <c r="B64" s="3" t="s">
        <v>26</v>
      </c>
      <c r="C64" t="s">
        <v>138</v>
      </c>
      <c r="E64" s="68">
        <v>1</v>
      </c>
    </row>
    <row r="65">
      <c r="A65" s="25">
        <v>2022</v>
      </c>
      <c r="B65" s="80" t="s">
        <v>48</v>
      </c>
      <c r="C65" t="s">
        <v>259</v>
      </c>
      <c r="E65" s="68">
        <v>1</v>
      </c>
    </row>
    <row r="66">
      <c r="A66" s="25">
        <v>2022</v>
      </c>
      <c r="B66" s="80" t="s">
        <v>39</v>
      </c>
      <c r="C66" t="s">
        <v>259</v>
      </c>
      <c r="E66" s="68">
        <v>1</v>
      </c>
    </row>
    <row r="67">
      <c r="A67" s="25">
        <v>2022</v>
      </c>
      <c r="B67" s="80" t="s">
        <v>37</v>
      </c>
      <c r="C67" t="s">
        <v>259</v>
      </c>
      <c r="D67"/>
      <c r="E67" s="68">
        <v>1</v>
      </c>
    </row>
    <row r="68">
      <c r="A68" s="27">
        <v>2022</v>
      </c>
      <c r="B68" s="81" t="s">
        <v>100</v>
      </c>
      <c r="C68" s="28" t="s">
        <v>259</v>
      </c>
      <c r="D68" s="28"/>
      <c r="E68" s="67">
        <v>1</v>
      </c>
    </row>
    <row r="69">
      <c r="A69" s="22">
        <v>2024</v>
      </c>
      <c r="B69" s="109" t="s">
        <v>23</v>
      </c>
      <c r="C69" s="23" t="s">
        <v>229</v>
      </c>
      <c r="D69" s="23"/>
      <c r="E69" s="66">
        <v>1</v>
      </c>
    </row>
    <row r="70">
      <c r="A70" s="25">
        <v>2024</v>
      </c>
      <c r="B70" s="90" t="s">
        <v>40</v>
      </c>
      <c r="C70" t="s">
        <v>157</v>
      </c>
      <c r="E70" s="68">
        <v>1</v>
      </c>
    </row>
    <row r="71">
      <c r="A71" s="25">
        <v>2024</v>
      </c>
      <c r="B71" s="90" t="s">
        <v>32</v>
      </c>
      <c r="C71" t="s">
        <v>38</v>
      </c>
      <c r="E71" s="68">
        <v>1</v>
      </c>
    </row>
    <row r="72">
      <c r="A72" s="25">
        <v>2024</v>
      </c>
      <c r="B72" s="90" t="s">
        <v>41</v>
      </c>
      <c r="C72" t="s">
        <v>157</v>
      </c>
      <c r="D72">
        <v>17</v>
      </c>
      <c r="E72" s="68">
        <f>D72/(D72+D73+D74+D75)</f>
        <v>8.808290155440414E-2</v>
      </c>
    </row>
    <row r="73">
      <c r="A73" s="25">
        <v>2024</v>
      </c>
      <c r="B73" s="90" t="s">
        <v>41</v>
      </c>
      <c r="C73" t="s">
        <v>38</v>
      </c>
      <c r="D73">
        <v>72</v>
      </c>
      <c r="E73" s="68">
        <f>D73/(D72+D73+D74+D75)</f>
        <v>0.37305699481865284</v>
      </c>
    </row>
    <row r="74">
      <c r="A74" s="25">
        <v>2024</v>
      </c>
      <c r="B74" s="90" t="s">
        <v>41</v>
      </c>
      <c r="C74" t="s">
        <v>134</v>
      </c>
      <c r="D74">
        <v>66</v>
      </c>
      <c r="E74" s="68">
        <f>D74/(D72+D73+D74+D75)</f>
        <v>0.34196891191709844</v>
      </c>
    </row>
    <row r="75">
      <c r="A75" s="25">
        <v>2024</v>
      </c>
      <c r="B75" s="90" t="s">
        <v>41</v>
      </c>
      <c r="C75" t="s">
        <v>131</v>
      </c>
      <c r="D75">
        <v>38</v>
      </c>
      <c r="E75" s="68">
        <f>D75/(D72+D73+D74+D75)</f>
        <v>0.19689119170984457</v>
      </c>
    </row>
    <row r="76">
      <c r="A76" s="25">
        <v>2024</v>
      </c>
      <c r="B76" s="91" t="s">
        <v>33</v>
      </c>
      <c r="C76" t="s">
        <v>134</v>
      </c>
      <c r="E76" s="68">
        <v>1</v>
      </c>
    </row>
    <row r="77">
      <c r="A77" s="25">
        <v>2024</v>
      </c>
      <c r="B77" s="91" t="s">
        <v>50</v>
      </c>
      <c r="C77" t="s">
        <v>134</v>
      </c>
      <c r="E77" s="68">
        <v>1</v>
      </c>
    </row>
    <row r="78">
      <c r="A78" s="25">
        <v>2024</v>
      </c>
      <c r="B78" s="91" t="s">
        <v>43</v>
      </c>
      <c r="C78" t="s">
        <v>134</v>
      </c>
      <c r="E78" s="68">
        <v>1</v>
      </c>
    </row>
    <row r="79">
      <c r="A79" s="25">
        <v>2024</v>
      </c>
      <c r="B79" s="92" t="s">
        <v>14</v>
      </c>
      <c r="C79" t="s">
        <v>131</v>
      </c>
      <c r="E79" s="68">
        <v>1</v>
      </c>
    </row>
    <row r="80">
      <c r="A80" s="25">
        <v>2024</v>
      </c>
      <c r="B80" s="92" t="s">
        <v>51</v>
      </c>
      <c r="C80" t="s">
        <v>131</v>
      </c>
      <c r="E80" s="68">
        <v>1</v>
      </c>
    </row>
    <row r="81">
      <c r="A81" s="25">
        <v>2024</v>
      </c>
      <c r="B81" s="93" t="s">
        <v>36</v>
      </c>
      <c r="C81" t="s">
        <v>136</v>
      </c>
      <c r="E81" s="68">
        <v>1</v>
      </c>
    </row>
    <row r="82">
      <c r="A82" s="25">
        <v>2024</v>
      </c>
      <c r="B82" s="93" t="s">
        <v>44</v>
      </c>
      <c r="C82" t="s">
        <v>136</v>
      </c>
      <c r="E82" s="68">
        <v>1</v>
      </c>
    </row>
    <row r="83">
      <c r="A83" s="25">
        <v>2024</v>
      </c>
      <c r="B83" s="93" t="s">
        <v>45</v>
      </c>
      <c r="C83" t="s">
        <v>136</v>
      </c>
      <c r="E83" s="68">
        <v>1</v>
      </c>
    </row>
    <row r="84">
      <c r="A84" s="25">
        <v>2024</v>
      </c>
      <c r="B84" s="93" t="s">
        <v>46</v>
      </c>
      <c r="C84" t="s">
        <v>136</v>
      </c>
      <c r="E84" s="68">
        <v>1</v>
      </c>
    </row>
    <row r="85">
      <c r="A85" s="25">
        <v>2024</v>
      </c>
      <c r="B85" s="93" t="s">
        <v>47</v>
      </c>
      <c r="C85" t="s">
        <v>136</v>
      </c>
      <c r="E85" s="68">
        <v>1</v>
      </c>
    </row>
    <row r="86">
      <c r="A86" s="25">
        <v>2024</v>
      </c>
      <c r="B86" s="93" t="s">
        <v>35</v>
      </c>
      <c r="C86" t="s">
        <v>136</v>
      </c>
      <c r="E86" s="68">
        <v>1</v>
      </c>
    </row>
    <row r="87">
      <c r="A87" s="25">
        <v>2024</v>
      </c>
      <c r="B87" s="94" t="s">
        <v>31</v>
      </c>
      <c r="C87" t="s">
        <v>138</v>
      </c>
      <c r="E87" s="68">
        <v>1</v>
      </c>
    </row>
    <row r="88">
      <c r="A88" s="25">
        <v>2024</v>
      </c>
      <c r="B88" s="94" t="s">
        <v>26</v>
      </c>
      <c r="C88" t="s">
        <v>138</v>
      </c>
      <c r="E88" s="68">
        <v>1</v>
      </c>
    </row>
    <row r="89">
      <c r="A89" s="25">
        <v>2024</v>
      </c>
      <c r="B89" s="95" t="s">
        <v>37</v>
      </c>
      <c r="C89" t="s">
        <v>259</v>
      </c>
      <c r="E89" s="68">
        <v>1</v>
      </c>
    </row>
    <row r="90">
      <c r="A90" s="25">
        <v>2024</v>
      </c>
      <c r="B90" s="95" t="s">
        <v>42</v>
      </c>
      <c r="C90" t="s">
        <v>259</v>
      </c>
      <c r="E90" s="68">
        <v>1</v>
      </c>
    </row>
    <row r="91">
      <c r="A91" s="25">
        <v>2024</v>
      </c>
      <c r="B91" s="95" t="s">
        <v>39</v>
      </c>
      <c r="C91" t="s">
        <v>259</v>
      </c>
      <c r="E91" s="68">
        <v>1</v>
      </c>
    </row>
    <row r="92">
      <c r="A92" s="25">
        <v>2024</v>
      </c>
      <c r="B92" s="95" t="s">
        <v>48</v>
      </c>
      <c r="C92" t="s">
        <v>259</v>
      </c>
      <c r="E92" s="68">
        <v>1</v>
      </c>
    </row>
    <row r="93">
      <c r="A93" s="27">
        <v>2024</v>
      </c>
      <c r="B93" s="96" t="s">
        <v>49</v>
      </c>
      <c r="C93" s="28" t="s">
        <v>259</v>
      </c>
      <c r="D93" s="28"/>
      <c r="E93" s="6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2026-07-08T05:35:15Z</dcterms:modified>
</cp:coreProperties>
</file>