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tabRatio="682"/>
  </bookViews>
  <sheets>
    <sheet name="Data" sheetId="1" r:id="rId1"/>
    <sheet name="Nuances" sheetId="10" r:id="rId3"/>
    <sheet name="Règle" sheetId="12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
GDR
</t>
        </r>
      </text>
    </comment>
    <comment ref="C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</t>
        </r>
      </text>
    </comment>
    <comment ref="D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GDR-NUPES
</t>
        </r>
      </text>
    </comment>
    <comment ref="E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
</t>
        </r>
      </text>
    </comment>
    <comment ref="C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
</t>
        </r>
      </text>
    </comment>
    <comment ref="D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LFI-NUPES
</t>
        </r>
      </text>
    </comment>
    <comment ref="E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
71+1=72
</t>
        </r>
      </text>
    </comment>
    <comment ref="B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SRC
279+16=295</t>
        </r>
      </text>
    </comment>
    <comment ref="C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NG
28+3=31
</t>
        </r>
      </text>
    </comment>
    <comment ref="D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SOC
27+4=31
</t>
        </r>
      </text>
    </comment>
    <comment ref="E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SOC
62+4=66
</t>
        </r>
      </text>
    </comment>
    <comment ref="B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RRDP
</t>
        </r>
      </text>
    </comment>
    <comment ref="D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Ecologiste-NUPES
</t>
        </r>
      </text>
    </comment>
    <comment ref="E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ECOS
</t>
        </r>
      </text>
    </comment>
    <comment ref="B1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ECOLO
</t>
        </r>
      </text>
    </comment>
    <comment ref="B1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UDI</t>
        </r>
      </text>
    </comment>
    <comment ref="C1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LREM
309+5=314
</t>
        </r>
      </text>
    </comment>
    <comment ref="C1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LREM
309+5=314</t>
        </r>
      </text>
    </comment>
    <comment ref="D1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REN
168+4=172
</t>
        </r>
      </text>
    </comment>
    <comment ref="E1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EPR
84+12=96
</t>
        </r>
      </text>
    </comment>
    <comment ref="C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MODEM
43+4=47</t>
        </r>
      </text>
    </comment>
    <comment ref="D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DEM
</t>
        </r>
      </text>
    </comment>
    <comment ref="E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LD
35+1=36
</t>
        </r>
      </text>
    </comment>
    <comment ref="B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UDI</t>
        </r>
      </text>
    </comment>
    <comment ref="C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LC:
34+1=35
</t>
        </r>
      </text>
    </comment>
    <comment ref="D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LIOT
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LIOT
</t>
        </r>
      </text>
    </comment>
    <comment ref="D2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HOR
28+2=30
</t>
        </r>
      </text>
    </comment>
    <comment ref="E2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HOR
25+8=33
</t>
        </r>
      </text>
    </comment>
    <comment ref="B2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UMP
185+11=196
</t>
        </r>
      </text>
    </comment>
    <comment ref="C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
95+5=100
</t>
        </r>
      </text>
    </comment>
    <comment ref="D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
59+3=62
</t>
        </r>
      </text>
    </comment>
    <comment ref="E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DR
41+6=47
</t>
        </r>
      </text>
    </comment>
    <comment ref="C2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</t>
        </r>
      </text>
    </comment>
    <comment ref="B3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E3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RN
123+3=126
</t>
        </r>
      </text>
    </comment>
    <comment ref="D3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E3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E3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UDR
</t>
        </r>
      </text>
    </comment>
  </commentList>
</comments>
</file>

<file path=xl/sharedStrings.xml><?xml version="1.0" encoding="utf-8"?>
<sst xmlns="http://schemas.openxmlformats.org/spreadsheetml/2006/main">
  <si>
    <t>Année</t>
  </si>
  <si>
    <t>TypesScrutin</t>
  </si>
  <si>
    <t>Niveau</t>
  </si>
  <si>
    <t>Zone</t>
  </si>
  <si>
    <t>Tour</t>
  </si>
  <si>
    <t>Nuance</t>
  </si>
  <si>
    <t>Inscrits</t>
  </si>
  <si>
    <t>Exprimés</t>
  </si>
  <si>
    <t>Voix</t>
  </si>
  <si>
    <t>Groupe</t>
  </si>
  <si>
    <t>PRES</t>
  </si>
  <si>
    <t>FR</t>
  </si>
  <si>
    <t>National</t>
  </si>
  <si>
    <t>T1</t>
  </si>
  <si>
    <t>ECO</t>
  </si>
  <si>
    <t>Blancs ou Nul</t>
  </si>
  <si>
    <t>Votants</t>
  </si>
  <si>
    <t>Ecologiste et social</t>
  </si>
  <si>
    <t>Groupe AN</t>
  </si>
  <si>
    <t>T2</t>
  </si>
  <si>
    <t>FN</t>
  </si>
  <si>
    <t>UMP</t>
  </si>
  <si>
    <t>FG</t>
  </si>
  <si>
    <t>EXG</t>
  </si>
  <si>
    <t>AUT</t>
  </si>
  <si>
    <t>CEN</t>
  </si>
  <si>
    <t>DVD</t>
  </si>
  <si>
    <t>Rassemblement national</t>
  </si>
  <si>
    <t>Droite républicaine</t>
  </si>
  <si>
    <t>Nuance année N</t>
  </si>
  <si>
    <t>REM</t>
  </si>
  <si>
    <t>LR</t>
  </si>
  <si>
    <t>FI</t>
  </si>
  <si>
    <t>SOC</t>
  </si>
  <si>
    <t>DLF</t>
  </si>
  <si>
    <t>DIV</t>
  </si>
  <si>
    <t>ENS</t>
  </si>
  <si>
    <t>RN</t>
  </si>
  <si>
    <t>LFI</t>
  </si>
  <si>
    <t>REC</t>
  </si>
  <si>
    <t>COM</t>
  </si>
  <si>
    <t>UG</t>
  </si>
  <si>
    <t>UXD</t>
  </si>
  <si>
    <t>DVG</t>
  </si>
  <si>
    <t>DVC</t>
  </si>
  <si>
    <t>REG</t>
  </si>
  <si>
    <t>HOR</t>
  </si>
  <si>
    <t>UDI</t>
  </si>
  <si>
    <t>DSV</t>
  </si>
  <si>
    <t>EXD</t>
  </si>
  <si>
    <t>RDG</t>
  </si>
  <si>
    <t>VEC</t>
  </si>
  <si>
    <t>La France Insoumise</t>
  </si>
  <si>
    <t>Gauche Démocrate et Républicaine</t>
  </si>
  <si>
    <t>Socialistes et apparentés</t>
  </si>
  <si>
    <t>Ensemble pour la République</t>
  </si>
  <si>
    <t>Les Démocrates</t>
  </si>
  <si>
    <t>Horizon et Indépendant</t>
  </si>
  <si>
    <t>LIOT</t>
  </si>
  <si>
    <t>Droite Républicaine</t>
  </si>
  <si>
    <t>Union des droites pour la république</t>
  </si>
  <si>
    <t>Libertés Indépendant, Outre-mer et Territoire</t>
  </si>
  <si>
    <t>Non Inscrit</t>
  </si>
  <si>
    <t>AUT (cheminade)</t>
  </si>
  <si>
    <t>CEN (Bayrou)</t>
  </si>
  <si>
    <t>DVD (Dupont-Aignan</t>
  </si>
  <si>
    <t>DVD (Dupont-Aignan)</t>
  </si>
  <si>
    <t>avec Mélenchon</t>
  </si>
  <si>
    <t>avec Hamon</t>
  </si>
  <si>
    <t>DLF  (Dupont-Aignan)</t>
  </si>
  <si>
    <t>DIV (Lassal)</t>
  </si>
  <si>
    <t>DVD (Asselineau)</t>
  </si>
  <si>
    <t>EXG (NPA)</t>
  </si>
  <si>
    <t>EXG (LO)</t>
  </si>
  <si>
    <t>DVD (Cheminade)</t>
  </si>
  <si>
    <t>DVD (cheminade)</t>
  </si>
  <si>
    <t>avec Bayrou</t>
  </si>
  <si>
    <t>DLF (Dupont-Aignan)</t>
  </si>
  <si>
    <t>AUT (cheminande)</t>
  </si>
  <si>
    <t>REC+DLF</t>
  </si>
  <si>
    <t>l</t>
  </si>
  <si>
    <t>Présidentielle</t>
  </si>
  <si>
    <t>avec ENS</t>
  </si>
  <si>
    <t>Législative</t>
  </si>
  <si>
    <t>ALLI</t>
  </si>
  <si>
    <t>PRV</t>
  </si>
  <si>
    <t>NCE</t>
  </si>
  <si>
    <t>EXG (LO + NPA)</t>
  </si>
  <si>
    <t>avec FG</t>
  </si>
  <si>
    <t>SOC + RDG</t>
  </si>
  <si>
    <t>SOC + RDG + DVG</t>
  </si>
  <si>
    <t>VEC + ECO</t>
  </si>
  <si>
    <t>SOC + RDG + DVG + PRV</t>
  </si>
  <si>
    <t>CEN + NCE</t>
  </si>
  <si>
    <t>DVD + EXD</t>
  </si>
  <si>
    <t>MDM</t>
  </si>
  <si>
    <t>DIV +REG</t>
  </si>
  <si>
    <t>DVD +DLF + EXD</t>
  </si>
  <si>
    <t>DXG</t>
  </si>
  <si>
    <t>NUP</t>
  </si>
  <si>
    <t>DXD</t>
  </si>
  <si>
    <t>avec NUP</t>
  </si>
  <si>
    <t>avec NUP + RDG</t>
  </si>
  <si>
    <t>avec NUP + RDG + DVG</t>
  </si>
  <si>
    <t>avec NUP + ECO</t>
  </si>
  <si>
    <t>DIV + REG</t>
  </si>
  <si>
    <t>DVD + DSV + REC</t>
  </si>
  <si>
    <t>DVD + DSV + REC + DXD</t>
  </si>
  <si>
    <t>avec UG</t>
  </si>
  <si>
    <t>E</t>
  </si>
  <si>
    <t>UXD + DVD</t>
  </si>
  <si>
    <t>avec UG + DVG</t>
  </si>
  <si>
    <t>avec UG + EXG</t>
  </si>
  <si>
    <t>UXD + DVD +REC</t>
  </si>
  <si>
    <t>avec UG + ECO</t>
  </si>
  <si>
    <t>HOR + UDI</t>
  </si>
  <si>
    <t>UXD + DVD +REC + DVD</t>
  </si>
  <si>
    <t>REG + DIV</t>
  </si>
  <si>
    <t>UXD + DVD +REC + DVD + DSV</t>
  </si>
  <si>
    <t>UXD + DVD +REC + DVD + DSV + EXD</t>
  </si>
  <si>
    <t>avec UG + DVG + SOC</t>
  </si>
  <si>
    <t>avec UG + DVG + SOC + RDG</t>
  </si>
  <si>
    <t>avec UG + EXG + FI</t>
  </si>
  <si>
    <t>avec UG + COM</t>
  </si>
  <si>
    <t>avec UG + ECO + VEC</t>
  </si>
  <si>
    <t>Bloc electoral</t>
  </si>
  <si>
    <t>Gauche Radical</t>
  </si>
  <si>
    <t>PCF + LFI</t>
  </si>
  <si>
    <t>Gauche révolutionnaire</t>
  </si>
  <si>
    <t>LO + NPA</t>
  </si>
  <si>
    <t>Ecologiste</t>
  </si>
  <si>
    <t>EELV</t>
  </si>
  <si>
    <t>parti</t>
  </si>
  <si>
    <t>Gauche Modéré</t>
  </si>
  <si>
    <t>PS</t>
  </si>
  <si>
    <t>parti (principal)</t>
  </si>
  <si>
    <t>Centre</t>
  </si>
  <si>
    <t>de ENS à LIOT (à l'AN)</t>
  </si>
  <si>
    <t>Droite</t>
  </si>
  <si>
    <t>Extrème Doite</t>
  </si>
  <si>
    <t>RN+UDR (à l'AN)</t>
  </si>
  <si>
    <t>COM+FI</t>
  </si>
  <si>
    <t>COM+FI / FG</t>
  </si>
  <si>
    <t>ECO/VEC</t>
  </si>
  <si>
    <t>SOC +</t>
  </si>
  <si>
    <t>AUT + Le merdier</t>
  </si>
  <si>
    <t>LR/UMP</t>
  </si>
  <si>
    <t>RN/FN +REC + DLF</t>
  </si>
  <si>
    <r>
      <t>Share_Exprimés</t>
    </r>
    <r>
      <rPr>
        <b val="false"/>
        <i val="false"/>
        <u val="none"/>
        <rFont val="Segoe UI"/>
        <sz val="9"/>
        <color rgb="FF000000"/>
      </rPr>
      <t xml:space="preserve"> </t>
    </r>
  </si>
  <si>
    <t>Share_Exprimés</t>
  </si>
  <si>
    <t>PoidsInscrits</t>
  </si>
  <si>
    <t>FamilleBrut</t>
  </si>
  <si>
    <t>gauche revolutionnaire</t>
  </si>
  <si>
    <t>NuanceCode</t>
  </si>
  <si>
    <t>FamilleElectorale</t>
  </si>
  <si>
    <t>Composite</t>
  </si>
  <si>
    <t>Brique</t>
  </si>
  <si>
    <t>PCF</t>
  </si>
  <si>
    <t>Elus_2024</t>
  </si>
  <si>
    <t>NUPES</t>
  </si>
  <si>
    <t>PoidsType</t>
  </si>
  <si>
    <t>% Exprimés</t>
  </si>
  <si>
    <t>Département</t>
  </si>
  <si>
    <t>Départementale</t>
  </si>
  <si>
    <t>LEG</t>
  </si>
  <si>
    <t>Circonscription</t>
  </si>
  <si>
    <t>EFoCWVyC6cc2QHKb61GtJc48pGwQKLUGU77VxVNHRJGv</t>
  </si>
  <si>
    <t>22 306</t>
  </si>
  <si>
    <t>12 606</t>
  </si>
  <si>
    <r>
      <t>NuanceComposite</t>
    </r>
    <r>
      <rPr>
        <b val="false"/>
        <i val="false"/>
        <u val="none"/>
        <rFont val="Segoe UI"/>
        <sz val="9"/>
        <color rgb="FF000000"/>
      </rPr>
      <t xml:space="preserve"> </t>
    </r>
  </si>
  <si>
    <t xml:space="preserve">NuanceComposite </t>
  </si>
  <si>
    <t>Poids Type</t>
  </si>
  <si>
    <t>Nuance Source</t>
  </si>
  <si>
    <t>Famille brut</t>
  </si>
  <si>
    <t>Voix ventillées</t>
  </si>
  <si>
    <t>Si tu as un fichier par année :</t>
  </si>
  <si>
    <t>excel</t>
  </si>
  <si>
    <t>A2 = code INSEE ou nom commune</t>
  </si>
  <si>
    <t>2022'!A:A = colonne commune dans fichier 2022</t>
  </si>
  <si>
    <t>2022'!D:D = colonne voix du candidat</t>
  </si>
  <si>
    <t>👉 Permet de ramener les résultats 2022 dans ton fichier maître.</t>
  </si>
  <si>
    <r>
      <t xml:space="preserve">🟦 2) </t>
    </r>
    <r>
      <rPr>
        <b/>
        <i val="false"/>
        <u val="none"/>
        <rFont val="Segoe UI"/>
        <sz val="18"/>
        <color rgb="FF000000"/>
      </rPr>
      <t>Comparer deux années (ex : 2017 → 2022)</t>
    </r>
  </si>
  <si>
    <t>E2 = voix 2022</t>
  </si>
  <si>
    <t>F2 = voix 2017</t>
  </si>
  <si>
    <t>Pour un pourcentage :</t>
  </si>
  <si>
    <r>
      <t xml:space="preserve">🟦 3) </t>
    </r>
    <r>
      <rPr>
        <b/>
        <i val="false"/>
        <u val="none"/>
        <rFont val="Segoe UI"/>
        <sz val="18"/>
        <color rgb="FF000000"/>
      </rPr>
      <t>Calcul du taux de participation</t>
    </r>
  </si>
  <si>
    <t>Exemple :</t>
  </si>
  <si>
    <r>
      <t xml:space="preserve">🟦 4) </t>
    </r>
    <r>
      <rPr>
        <b/>
        <i val="false"/>
        <u val="none"/>
        <rFont val="Segoe UI"/>
        <sz val="18"/>
        <color rgb="FF000000"/>
      </rPr>
      <t>Calcul du taux d’abstention</t>
    </r>
  </si>
  <si>
    <r>
      <t xml:space="preserve">🟦 5) </t>
    </r>
    <r>
      <rPr>
        <b/>
        <i val="false"/>
        <u val="none"/>
        <rFont val="Segoe UI"/>
        <sz val="18"/>
        <color rgb="FF000000"/>
      </rPr>
      <t>Comparaison T1 → T2 (report de voix)</t>
    </r>
  </si>
  <si>
    <t>Pourcentage :</t>
  </si>
  <si>
    <r>
      <t xml:space="preserve">🟦 6) </t>
    </r>
    <r>
      <rPr>
        <b/>
        <i val="false"/>
        <u val="none"/>
        <rFont val="Segoe UI"/>
        <sz val="18"/>
        <color rgb="FF000000"/>
      </rPr>
      <t>Comparer commune vs département vs national</t>
    </r>
  </si>
  <si>
    <t>Si tu as trois colonnes :</t>
  </si>
  <si>
    <t>👉 Permet de voir si ta commune est “au-dessus” ou “en-dessous” des tendances.</t>
  </si>
  <si>
    <r>
      <t xml:space="preserve">📊 </t>
    </r>
    <r>
      <rPr>
        <b/>
        <i val="false"/>
        <u val="none"/>
        <rFont val="Segoe UI"/>
        <sz val="20"/>
        <color rgb="FF000000"/>
      </rPr>
      <t>Exemples d’analyses que tu peux faire immédiatement</t>
    </r>
  </si>
  <si>
    <r>
      <t xml:space="preserve">🔹 </t>
    </r>
    <r>
      <rPr>
        <b/>
        <i val="false"/>
        <u val="none"/>
        <rFont val="Segoe UI"/>
        <sz val="18"/>
        <color rgb="FF000000"/>
      </rPr>
      <t>1. Participation depuis 2017</t>
    </r>
  </si>
  <si>
    <t>Participation 2017 T1/T2</t>
  </si>
  <si>
    <t>Participation 2022 T1/T2</t>
  </si>
  <si>
    <t>Participation 2024 T1/T2</t>
  </si>
  <si>
    <t>Tu peux tracer un graphique pour voir si la commune se démobilise ou se remobilise.</t>
  </si>
  <si>
    <r>
      <t xml:space="preserve">🔹 </t>
    </r>
    <r>
      <rPr>
        <b/>
        <i val="false"/>
        <u val="none"/>
        <rFont val="Segoe UI"/>
        <sz val="18"/>
        <color rgb="FF000000"/>
      </rPr>
      <t>2. Progression d’un parti</t>
    </r>
  </si>
  <si>
    <t>Exemple : RN, LFI, LR, Ensemble, etc.</t>
  </si>
  <si>
    <r>
      <t xml:space="preserve">Tu peux même faire un </t>
    </r>
    <r>
      <rPr>
        <b/>
        <i val="false"/>
        <u val="none"/>
        <rFont val="Segoe UI"/>
        <sz val="9"/>
        <color rgb="FF000000"/>
      </rPr>
      <t>indice de progression</t>
    </r>
    <r>
      <rPr>
        <b val="false"/>
        <i val="false"/>
        <u val="none"/>
        <rFont val="Segoe UI"/>
        <sz val="9"/>
        <color rgb="FF000000"/>
      </rPr>
      <t xml:space="preserve"> :</t>
    </r>
  </si>
  <si>
    <r>
      <t xml:space="preserve">🔹 </t>
    </r>
    <r>
      <rPr>
        <b/>
        <i val="false"/>
        <u val="none"/>
        <rFont val="Segoe UI"/>
        <sz val="18"/>
        <color rgb="FF000000"/>
      </rPr>
      <t>3. Analyse géographique</t>
    </r>
  </si>
  <si>
    <t>Si tu as plusieurs communes → tu peux faire :</t>
  </si>
  <si>
    <t>Carte des progressions</t>
  </si>
  <si>
    <t>Carte des participations</t>
  </si>
  <si>
    <t>Carte des bascules politiques</t>
  </si>
  <si>
    <r>
      <t xml:space="preserve">🔹 </t>
    </r>
    <r>
      <rPr>
        <b/>
        <i val="false"/>
        <u val="none"/>
        <rFont val="Segoe UI"/>
        <sz val="18"/>
        <color rgb="FF000000"/>
      </rPr>
      <t>4. Analyse des reports T1 → T2</t>
    </r>
  </si>
  <si>
    <t>Exemple : Si un candidat fait 30% au T1 et 52% au T2 → tu peux calculer :</t>
  </si>
  <si>
    <t>Et comparer avec les autres communes.</t>
  </si>
  <si>
    <t>Exemple : importer toutes les nuances d’une commune</t>
  </si>
  <si>
    <t>A:Z = ton tableau complet</t>
  </si>
  <si>
    <t>A:A = colonne commune</t>
  </si>
  <si>
    <t>"MA_COMMUNE" = la commune à extraire</t>
  </si>
  <si>
    <r>
      <t xml:space="preserve">👉 Résultat : </t>
    </r>
    <r>
      <rPr>
        <b/>
        <i val="false"/>
        <u val="none"/>
        <rFont val="Segoe UI"/>
        <sz val="9"/>
        <color rgb="FF000000"/>
      </rPr>
      <t>toutes les lignes</t>
    </r>
    <r>
      <rPr>
        <b val="false"/>
        <i val="false"/>
        <u val="none"/>
        <rFont val="Segoe UI"/>
        <sz val="9"/>
        <color rgb="FF000000"/>
      </rPr>
      <t xml:space="preserve"> de cette commune, avec toutes les nuances.</t>
    </r>
  </si>
  <si>
    <t>Exemple : importer toutes les nuances du T1 2024</t>
  </si>
  <si>
    <t>C:C = année</t>
  </si>
  <si>
    <t>D:D = tour</t>
  </si>
  <si>
    <t>👉 Résultat : toutes les nuances du T1 2024.</t>
  </si>
  <si>
    <t>NuanceSource</t>
  </si>
  <si>
    <t>Parti</t>
  </si>
  <si>
    <t>Eélu AN référence</t>
  </si>
  <si>
    <t>Elu AN référence</t>
  </si>
  <si>
    <t>PoidType</t>
  </si>
  <si>
    <t>Nb Elu du scrutin</t>
  </si>
  <si>
    <t>Remarque</t>
  </si>
  <si>
    <t>futur FG</t>
  </si>
  <si>
    <t>Extrême Droite</t>
  </si>
  <si>
    <t>Extrême Gauche</t>
  </si>
  <si>
    <t>Gauche Révolutionnaire</t>
  </si>
  <si>
    <t>Gauche Radicale</t>
  </si>
  <si>
    <t>LR/UMP+DVD</t>
  </si>
  <si>
    <t>PES</t>
  </si>
  <si>
    <t>1239928+477288</t>
  </si>
  <si>
    <t>49 332 709</t>
  </si>
  <si>
    <t>T</t>
  </si>
  <si>
    <t>Elu AN</t>
  </si>
  <si>
    <t>PoidType 2017</t>
  </si>
  <si>
    <t>PoidType 2012</t>
  </si>
  <si>
    <t>PoidType 2022</t>
  </si>
  <si>
    <t>PoidType 2024</t>
  </si>
  <si>
    <t>Elu 2017</t>
  </si>
  <si>
    <t>UDF</t>
  </si>
  <si>
    <t>MAJ</t>
  </si>
  <si>
    <t>MPF</t>
  </si>
  <si>
    <t>NPA</t>
  </si>
  <si>
    <t>LO</t>
  </si>
  <si>
    <t>Poid Type</t>
  </si>
  <si>
    <t>Poid PCF</t>
  </si>
  <si>
    <t>Poid LFI</t>
  </si>
  <si>
    <t>Poid PS</t>
  </si>
  <si>
    <t>Poid EELV</t>
  </si>
  <si>
    <t>Elu PCF</t>
  </si>
  <si>
    <t>Elu LFI</t>
  </si>
  <si>
    <t>Elu PS</t>
  </si>
  <si>
    <t>Elu EELV</t>
  </si>
  <si>
    <t>PS+EELV</t>
  </si>
  <si>
    <t xml:space="preserve">MAP_COMPOSIT_TO_BRICKS </t>
  </si>
  <si>
    <t>Brick</t>
  </si>
  <si>
    <t>Extrème Droite</t>
  </si>
  <si>
    <t xml:space="preserve">Elu </t>
  </si>
  <si>
    <t>p</t>
  </si>
  <si>
    <t>Nb Elu</t>
  </si>
  <si>
    <t>P</t>
  </si>
  <si>
    <t>Poid Brique dans la Nuance</t>
  </si>
  <si>
    <t>=SI(C2="Gauche Révolutionnaire","Gauche révolutionnaire",</t>
  </si>
  <si>
    <t>SI(OU(C2="PCF",C2="LFI"),"Gauche Radical",</t>
  </si>
  <si>
    <t>SI(C2="EELV","Ecologiste",</t>
  </si>
  <si>
    <t>SI(C2="PS","Gauche Modéré",</t>
  </si>
  <si>
    <t>SI(C2="Centre","Centre",</t>
  </si>
  <si>
    <t>SI(C2="Droite","Droite",</t>
  </si>
  <si>
    <t>SI(OU(C2="Extrême Droite",C2="Extrême Droité"),"Extrême Droite",</t>
  </si>
  <si>
    <t>"")))))))</t>
  </si>
  <si>
    <t>LO/NPA</t>
  </si>
  <si>
    <t>BRIQUE</t>
  </si>
  <si>
    <t>Bloc</t>
  </si>
  <si>
    <t>NG</t>
  </si>
  <si>
    <t>Règle Générale</t>
  </si>
  <si>
    <t>Pour les PRES, on saisit directement la brique dans la colonne NuancePCF, LFI, PS, EELV, RN, LR, LREM...</t>
  </si>
  <si>
    <t>Pour les PRES, on saisit directement la brique dans la colonne Nuance : PCF, LFI, PS, EELV, RN, LR, LREM...</t>
  </si>
  <si>
    <t xml:space="preserve"> si un candidat représente une alliance, on crée une nuance composite avec prorata Voir tableau 3</t>
  </si>
  <si>
    <t>Règle Générale PRES</t>
  </si>
  <si>
    <t>On saisit directement la brique dans la colonne Nuance : PCF, LFI, PS, EELV, RN, LR, LREM...</t>
  </si>
  <si>
    <t>Alliance Composite PRES et LEG</t>
  </si>
  <si>
    <t>Scrutin</t>
  </si>
  <si>
    <t>Candidat/Alliance</t>
  </si>
  <si>
    <t>Poid</t>
  </si>
  <si>
    <t>Source du Poid</t>
  </si>
  <si>
    <t>Melenchon (PCF+LFI)</t>
  </si>
  <si>
    <t>Candidat</t>
  </si>
  <si>
    <t>Alliance</t>
  </si>
  <si>
    <t>Melenchon</t>
  </si>
  <si>
    <t>Règle Générale PRES pour la Gauche</t>
  </si>
  <si>
    <t>Joly</t>
  </si>
  <si>
    <t>Holland</t>
  </si>
  <si>
    <t>Hamon</t>
  </si>
  <si>
    <t>Nuance Officiel</t>
  </si>
  <si>
    <t>Nuance crée</t>
  </si>
  <si>
    <t>Roussel</t>
  </si>
  <si>
    <t>Hidalgo</t>
  </si>
  <si>
    <t>Jadot</t>
  </si>
  <si>
    <t>Poids</t>
  </si>
  <si>
    <t>Nuances permanentes — Année = 0 (valables pour toutes les élections)</t>
  </si>
  <si>
    <t>Nuance permanente — extrême gauche</t>
  </si>
  <si>
    <t>Nuance permanente</t>
  </si>
  <si>
    <t>Nuance permanente — quand FI seul (LEG)</t>
  </si>
  <si>
    <t>Convention : PRG satellite PS</t>
  </si>
  <si>
    <t>Convention : divers gauche → PS</t>
  </si>
  <si>
    <t>Nuance permanente — La République En Marche</t>
  </si>
  <si>
    <t>Nuance permanente — Ensemble</t>
  </si>
  <si>
    <t>Nuance permanente — MoDem</t>
  </si>
  <si>
    <t>Nuance permanente — Horizons</t>
  </si>
  <si>
    <t>Nuance permanente — divers centre</t>
  </si>
  <si>
    <t>Nuance permanente — majorité présidentielle</t>
  </si>
  <si>
    <t>Nuance permanente — divers droite</t>
  </si>
  <si>
    <t>Nuance permanente — Debout la France</t>
  </si>
  <si>
    <t>Nuance permanente — Front National</t>
  </si>
  <si>
    <t>Nuance permanente — Rassemblement National (ex FN)</t>
  </si>
  <si>
    <t>Nuance permanente — Reconquête</t>
  </si>
  <si>
    <t>Nuance permanente — Mouvement Pour la France</t>
  </si>
  <si>
    <t>Alliances composites — Année spécifique + prorata élus AN</t>
  </si>
  <si>
    <t>FG 2012 (PRES Mélenchon + LEG) — prorata élus GDR 2007 : 15 PCF / 15 DVG filiation LFI</t>
  </si>
  <si>
    <t>FG 2012 — idem</t>
  </si>
  <si>
    <t>FG 2017 PRES uniquement — prorata élus GDR 2012 : 16 PCF / 17 DVG filiation LFI</t>
  </si>
  <si>
    <t>FG 2017 — idem</t>
  </si>
  <si>
    <t>NG 2017 PRES Hamon — prorata groupe Nouvelle Gauche AN 2017 : 28 PS / 3 EELV</t>
  </si>
  <si>
    <t>NG 2017 — idem</t>
  </si>
  <si>
    <t>NUPES 2022 LEG — prorata élus AN 2024 : PCF 22 / LFI 75 / PS 64 / EELV 23</t>
  </si>
  <si>
    <t>NUPES 2022 — idem</t>
  </si>
  <si>
    <t>NFP 2024 LEG — prorata élus AN 2024 : PCF 17 / LFI 72 / PS 66 / EELV 38</t>
  </si>
  <si>
    <t>NFP 2024 — idem</t>
  </si>
  <si>
    <t>Nuance Officielle</t>
  </si>
  <si>
    <t>*</t>
  </si>
  <si>
    <t>2012 Ministere</t>
  </si>
  <si>
    <t>2012 Groupe</t>
  </si>
  <si>
    <t>2017 Ministere</t>
  </si>
  <si>
    <t>2017 Groupe</t>
  </si>
  <si>
    <t>2022 Ministere</t>
  </si>
  <si>
    <t>2022 Groupe</t>
  </si>
  <si>
    <t>2024 Ministere</t>
  </si>
  <si>
    <t>2024 Groupe</t>
  </si>
  <si>
    <t>EURO</t>
  </si>
  <si>
    <r>
      <t>49 462 981</t>
    </r>
    <r>
      <rPr>
        <b val="false"/>
        <i val="false"/>
        <u val="none"/>
        <rFont val="Segoe UI"/>
        <sz val="9"/>
        <color rgb="FF000000"/>
      </rPr>
      <t xml:space="preserve"> </t>
    </r>
  </si>
  <si>
    <r>
      <t>49 462 981</t>
    </r>
    <r>
      <rPr>
        <b val="false"/>
        <i val="false"/>
        <u val="none"/>
        <rFont val="Segoe UI"/>
        <sz val="9"/>
        <color rgb="FFFF0000"/>
      </rPr>
      <t xml:space="preserve"> </t>
    </r>
  </si>
  <si>
    <r>
      <rPr>
        <b val="false"/>
        <i val="false"/>
        <u val="none"/>
        <rFont val="Arial"/>
        <sz val="10"/>
        <color rgb="FF000000"/>
      </rPr>
      <t>49 62981</t>
    </r>
    <r>
      <rPr>
        <b val="false"/>
        <i val="false"/>
        <u val="none"/>
        <rFont val="Segoe UI"/>
        <sz val="9"/>
        <color rgb="FF000000"/>
      </rPr>
      <t xml:space="preserve"> </t>
    </r>
  </si>
  <si>
    <r>
      <t>25 470 472</t>
    </r>
    <r>
      <rPr>
        <b val="false"/>
        <i val="false"/>
        <u val="none"/>
        <rFont val="Segoe UI"/>
        <sz val="9"/>
        <color rgb="FF000000"/>
      </rPr>
      <t xml:space="preserve"> </t>
    </r>
  </si>
  <si>
    <r>
      <rPr>
        <b val="false"/>
        <i val="false"/>
        <u val="none"/>
        <rFont val="Arial"/>
        <sz val="10"/>
        <color rgb="FF000000"/>
      </rPr>
      <t>25 470472</t>
    </r>
    <r>
      <rPr>
        <b val="false"/>
        <i val="false"/>
        <u val="none"/>
        <rFont val="Segoe UI"/>
        <sz val="9"/>
        <color rgb="FF000000"/>
      </rPr>
      <t xml:space="preserve"> </t>
    </r>
  </si>
  <si>
    <t>LRN</t>
  </si>
  <si>
    <t>LENS</t>
  </si>
  <si>
    <t>rn</t>
  </si>
  <si>
    <t>ens</t>
  </si>
  <si>
    <t>ps</t>
  </si>
  <si>
    <t>LUG</t>
  </si>
  <si>
    <t>LLR</t>
  </si>
  <si>
    <t>lr</t>
  </si>
  <si>
    <t>lfi</t>
  </si>
  <si>
    <t>LVEC</t>
  </si>
  <si>
    <t>eelv</t>
  </si>
  <si>
    <t>LREC</t>
  </si>
  <si>
    <t>recoquete</t>
  </si>
  <si>
    <t>LCOM</t>
  </si>
  <si>
    <t>pcf</t>
  </si>
  <si>
    <t>LDVD</t>
  </si>
  <si>
    <t>droite</t>
  </si>
  <si>
    <t>droite (lassale)</t>
  </si>
  <si>
    <t>LDIV</t>
  </si>
  <si>
    <t>animaliste</t>
  </si>
  <si>
    <t>divers</t>
  </si>
  <si>
    <t>LECO</t>
  </si>
  <si>
    <t>ecolo du centre</t>
  </si>
  <si>
    <t>asselineau</t>
  </si>
  <si>
    <t>LEXD</t>
  </si>
  <si>
    <t>extreme droite</t>
  </si>
  <si>
    <t>LEXG</t>
  </si>
  <si>
    <t>exg</t>
  </si>
  <si>
    <t>LDVG</t>
  </si>
  <si>
    <t>Gauhe Révolutionnaire</t>
  </si>
  <si>
    <t>Divers</t>
  </si>
  <si>
    <t>Nuance européenne inclassable</t>
  </si>
  <si>
    <t>Européenne PS avec Gluksman</t>
  </si>
  <si>
    <t>REN</t>
  </si>
  <si>
    <t xml:space="preserve">FG </t>
  </si>
  <si>
    <t>Euro FG futur LFI + PCF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</si>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</sst>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40" x14ac:knownFonts="1">
    <font>
      <sz val="11"/>
      <color theme="1"/>
      <name val="Calibri"/>
      <family val="2"/>
      <scheme val="minor"/>
    </font>
    <font>
      <sz val="9"/>
      <name val="Segoe UI"/>
      <color rgb="FF000000"/>
    </font>
    <font>
      <sz val="9"/>
      <name val="Cascadia Mono"/>
      <color rgb="FFFFFFFF"/>
      <family val="2"/>
      <scheme val="minor"/>
    </font>
    <font>
      <sz val="9"/>
      <name val="Cascadia Mono"/>
      <color rgb="FF000000"/>
      <family val="2"/>
      <scheme val="minor"/>
    </font>
    <font>
      <sz val="9"/>
      <name val="Calibri"/>
      <color rgb="FF000000"/>
      <family val="2"/>
      <scheme val="minor"/>
    </font>
    <font>
      <sz val="14"/>
      <name val="Calibri"/>
      <color theme="1"/>
      <family val="2"/>
      <scheme val="minor"/>
    </font>
    <font>
      <sz val="14"/>
      <name val="Cascadia Mono"/>
      <color rgb="FF000000"/>
      <family val="2"/>
      <scheme val="minor"/>
    </font>
    <font>
      <sz val="11"/>
      <name val="Cascadia Mono"/>
      <color rgb="FF000000"/>
      <family val="2"/>
      <scheme val="minor"/>
    </font>
    <font>
      <i/>
      <sz val="11"/>
      <name val="Calibri"/>
      <color theme="1"/>
      <family val="2"/>
      <scheme val="minor"/>
    </font>
    <font>
      <sz val="9"/>
      <name val="Segoe UI"/>
      <color rgb="FF000000"/>
    </font>
    <font>
      <sz val="9"/>
      <name val="Segoe UI"/>
      <color rgb="FF000000"/>
    </font>
    <font>
      <sz val="9"/>
      <name val="Segoe UI"/>
      <color rgb="FF000000"/>
      <family val="2"/>
      <scheme val="minor"/>
    </font>
    <font>
      <sz val="8"/>
      <name val="Courier New"/>
      <color rgb="FF000000"/>
    </font>
    <font>
      <sz val="8"/>
      <name val="Courier New"/>
      <color rgb="FF000000"/>
      <family val="2"/>
      <scheme val="minor"/>
    </font>
    <font>
      <b/>
      <sz val="18"/>
      <name val="Segoe UI"/>
      <color rgb="FF000000"/>
    </font>
    <font>
      <sz val="18"/>
      <name val="Segoe UI"/>
      <color rgb="FF000000"/>
    </font>
    <font>
      <sz val="18"/>
      <name val="Segoe UI"/>
      <color rgb="FF000000"/>
      <family val="2"/>
      <scheme val="minor"/>
    </font>
    <font>
      <b/>
      <sz val="20"/>
      <name val="Segoe UI"/>
      <color rgb="FF000000"/>
    </font>
    <font>
      <sz val="20"/>
      <name val="Segoe UI"/>
      <color rgb="FF000000"/>
    </font>
    <font>
      <sz val="20"/>
      <name val="Segoe UI"/>
      <color rgb="FF000000"/>
      <family val="2"/>
      <scheme val="minor"/>
    </font>
    <font>
      <b/>
      <sz val="9"/>
      <name val="Segoe UI"/>
      <color rgb="FF000000"/>
    </font>
    <font>
      <sz val="11"/>
      <name val="Calibri"/>
      <color theme="10"/>
      <u val="single"/>
      <family val="2"/>
      <scheme val="minor"/>
    </font>
    <font>
      <sz val="9"/>
      <name val="Segoe UI"/>
      <color rgb="FF000000"/>
    </font>
    <font>
      <sz val="11"/>
      <name val="Calibri"/>
      <color rgb="FF0563C1"/>
      <family val="2"/>
      <scheme val="minor"/>
    </font>
    <font>
      <sz val="11"/>
      <name val="Calibri"/>
      <color rgb="FF000000"/>
      <u val="single"/>
      <family val="2"/>
      <scheme val="minor"/>
    </font>
    <font>
      <sz val="9"/>
      <name val="Segoe UI"/>
      <color rgb="FF000000"/>
    </font>
    <font>
      <sz val="11"/>
      <name val="Calibri"/>
      <color rgb="FFFF0000"/>
      <family val="2"/>
      <scheme val="minor"/>
    </font>
    <font>
      <sz val="11"/>
      <name val="Calibri"/>
      <color theme="1"/>
      <charset val="1"/>
      <family val="2"/>
      <scheme val="minor"/>
    </font>
    <font>
      <b/>
      <sz val="10"/>
      <name val="Arial"/>
      <color rgb="FFFFFFFF"/>
      <charset val="1"/>
      <family val="0"/>
      <scheme val="minor"/>
    </font>
    <font>
      <b/>
      <i/>
      <sz val="9"/>
      <name val="Arial"/>
      <color rgb="FFFFFFFF"/>
      <charset val="1"/>
      <family val="0"/>
      <scheme val="minor"/>
    </font>
    <font>
      <sz val="10"/>
      <name val="Arial"/>
      <color rgb="FF888888"/>
      <charset val="1"/>
      <family val="0"/>
      <scheme val="minor"/>
    </font>
    <font>
      <sz val="10"/>
      <name val="Arial"/>
      <color theme="1"/>
      <charset val="1"/>
      <family val="0"/>
      <scheme val="minor"/>
    </font>
    <font>
      <i/>
      <sz val="9"/>
      <name val="Arial"/>
      <color rgb="FF555555"/>
      <charset val="1"/>
      <family val="0"/>
      <scheme val="minor"/>
    </font>
    <font>
      <b/>
      <sz val="10"/>
      <name val="Arial"/>
      <color rgb="FF000000"/>
      <charset val="1"/>
      <family val="0"/>
      <scheme val="minor"/>
    </font>
    <font>
      <sz val="9"/>
      <name val="Segoe UI"/>
      <color rgb="FF000000"/>
    </font>
    <font>
      <sz val="10"/>
      <name val="Arial"/>
      <color rgb="FFCECECE"/>
      <family val="2"/>
      <scheme val="minor"/>
    </font>
    <font>
      <sz val="10"/>
      <name val="Arial"/>
      <color rgb="FFFF0000"/>
      <family val="2"/>
      <scheme val="minor"/>
    </font>
    <font>
      <sz val="9"/>
      <name val="Segoe UI"/>
      <color rgb="FFFF0000"/>
    </font>
    <font>
      <sz val="10"/>
      <name val="Arial"/>
      <color rgb="FF000000"/>
      <family val="2"/>
      <scheme val="minor"/>
    </font>
    <font>
      <sz val="10"/>
      <name val="Arial"/>
      <color rgb="FF000000"/>
    </font>
  </fonts>
  <fills count="2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92D050"/>
      </patternFill>
    </fill>
    <fill>
      <patternFill patternType="solid">
        <fgColor rgb="FFFAC09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FCD5B5"/>
      </patternFill>
    </fill>
    <fill>
      <patternFill patternType="solid">
        <fgColor rgb="FFF79646"/>
      </patternFill>
    </fill>
    <fill>
      <patternFill patternType="solid">
        <fgColor rgb="FF9BBB59"/>
      </patternFill>
    </fill>
    <fill>
      <patternFill patternType="solid">
        <fgColor rgb="FF404040"/>
        <bgColor rgb="FF555555"/>
      </patternFill>
    </fill>
    <fill>
      <patternFill patternType="solid">
        <fgColor rgb="FF555555"/>
        <bgColor rgb="FF404040"/>
      </patternFill>
    </fill>
    <fill>
      <patternFill patternType="solid">
        <fgColor rgb="FFD9D9D9"/>
        <bgColor rgb="FFC0C0C0"/>
      </patternFill>
    </fill>
    <fill>
      <patternFill patternType="solid">
        <fgColor rgb="FF8B0000"/>
        <bgColor rgb="FF800000"/>
      </patternFill>
    </fill>
    <fill>
      <patternFill patternType="solid">
        <fgColor rgb="FFCC0000"/>
        <bgColor rgb="FF8B0000"/>
      </patternFill>
    </fill>
    <fill>
      <patternFill patternType="solid">
        <fgColor rgb="FFFF4444"/>
        <bgColor rgb="FF993366"/>
      </patternFill>
    </fill>
    <fill>
      <patternFill patternType="solid">
        <fgColor rgb="FFE8A080"/>
        <bgColor rgb="FFFF99CC"/>
      </patternFill>
    </fill>
    <fill>
      <patternFill patternType="solid">
        <fgColor rgb="FF4CAF50"/>
        <bgColor rgb="FF888888"/>
      </patternFill>
    </fill>
    <fill>
      <patternFill patternType="solid">
        <fgColor rgb="FFFDD835"/>
        <bgColor rgb="FFFFCC99"/>
      </patternFill>
    </fill>
    <fill>
      <patternFill patternType="solid">
        <fgColor rgb="FF42A5F5"/>
        <bgColor rgb="FF00CCFF"/>
      </patternFill>
    </fill>
    <fill>
      <patternFill patternType="solid">
        <fgColor rgb="FF1A237E"/>
        <bgColor rgb="FF333399"/>
      </patternFill>
    </fill>
    <fill>
      <patternFill patternType="solid">
        <fgColor rgb="FFFFF9C4"/>
        <bgColor rgb="FFFFFF99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AAAAAA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2" applyFill="1" borderId="1" applyBorder="1" xfId="0"/>
    <xf numFmtId="0" applyNumberFormat="1" fontId="0" applyFont="1" fillId="3" applyFill="1" borderId="1" applyBorder="1" xfId="0"/>
    <xf numFmtId="0" applyNumberFormat="1" fontId="0" applyFont="1" fillId="4" applyFill="1" borderId="1" applyBorder="1" xfId="0"/>
    <xf numFmtId="0" applyNumberFormat="1" fontId="0" applyFont="1" fillId="0" applyFill="1" applyAlignment="1" xfId="0">
      <alignment horizontal="center"/>
    </xf>
    <xf numFmtId="0" applyNumberFormat="1" fontId="0" applyFont="1" fillId="5" applyFill="1" xfId="0"/>
    <xf numFmtId="0" applyNumberFormat="1" fontId="0" applyFont="1" fillId="6" applyFill="1" xfId="0"/>
    <xf numFmtId="0" applyNumberFormat="1" fontId="2" applyFont="1" fillId="0" applyFill="1" xfId="0"/>
    <xf numFmtId="0" applyNumberFormat="1" fontId="3" applyFont="1" fillId="0" applyFill="1" xfId="0"/>
    <xf numFmtId="0" applyNumberFormat="1" fontId="4" applyFont="1" fillId="0" applyFill="1" xfId="0"/>
    <xf numFmtId="0" applyNumberFormat="1" fontId="5" applyFont="1" fillId="0" applyFill="1" xfId="0"/>
    <xf numFmtId="0" applyNumberFormat="1" fontId="5" applyFont="1" fillId="0" applyFill="1" xfId="0"/>
    <xf numFmtId="0" applyNumberFormat="1" fontId="6" applyFont="1" fillId="0" applyFill="1" xfId="0"/>
    <xf numFmtId="0" applyNumberFormat="1" fontId="0" applyFont="1" fillId="0" applyFill="1" xfId="0"/>
    <xf numFmtId="0" applyNumberFormat="1" fontId="7" applyFont="1" fillId="0" applyFill="1" xfId="0"/>
    <xf numFmtId="10" applyNumberFormat="1" fontId="0" applyFont="1" fillId="0" applyFill="1" xfId="0"/>
    <xf numFmtId="10" applyNumberFormat="1" fontId="0" applyFont="1" fillId="0" applyFill="1" xfId="0"/>
    <xf numFmtId="10" applyNumberFormat="1" fontId="7" applyFont="1" fillId="0" applyFill="1" xfId="0"/>
    <xf numFmtId="10" applyNumberFormat="1" fontId="0" applyFont="1" fillId="3" applyFill="1" xfId="0"/>
    <xf numFmtId="0" applyNumberFormat="1" fontId="0" applyFont="1" fillId="0" applyFill="1" borderId="2" applyBorder="1" xfId="0"/>
    <xf numFmtId="0" applyNumberFormat="1" fontId="0" applyFont="1" fillId="0" applyFill="1" borderId="3" applyBorder="1" xfId="0"/>
    <xf numFmtId="10" applyNumberFormat="1" fontId="0" applyFont="1" fillId="0" applyFill="1" borderId="4" applyBorder="1" xfId="0"/>
    <xf numFmtId="0" applyNumberFormat="1" fontId="0" applyFont="1" fillId="0" applyFill="1" borderId="5" applyBorder="1" xfId="0"/>
    <xf numFmtId="10" applyNumberFormat="1" fontId="0" applyFont="1" fillId="0" applyFill="1" borderId="6" applyBorder="1" xfId="0"/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10" applyNumberFormat="1" fontId="0" applyFont="1" fillId="0" applyFill="1" borderId="9" applyBorder="1" xfId="0"/>
    <xf numFmtId="0" applyNumberFormat="1" fontId="8" applyFont="1" fillId="0" applyFill="1" xfId="0"/>
    <xf numFmtId="0" applyNumberFormat="1" fontId="8" applyFont="1" fillId="0" applyFill="1" borderId="3" applyBorder="1" xfId="0"/>
    <xf numFmtId="0" applyNumberFormat="1" fontId="8" applyFont="1" fillId="0" applyFill="1" borderId="8" applyBorder="1" xfId="0"/>
    <xf numFmtId="10" applyNumberFormat="1" fontId="8" applyFont="1" fillId="0" applyFill="1" xfId="0"/>
    <xf numFmtId="10" applyNumberFormat="1" fontId="8" applyFont="1" fillId="0" applyFill="1" borderId="4" applyBorder="1" xfId="0"/>
    <xf numFmtId="10" applyNumberFormat="1" fontId="8" applyFont="1" fillId="0" applyFill="1" borderId="6" applyBorder="1" xfId="0"/>
    <xf numFmtId="10" applyNumberFormat="1" fontId="8" applyFont="1" fillId="0" applyFill="1" borderId="9" applyBorder="1" xfId="0"/>
    <xf numFmtId="0" applyNumberFormat="1" fontId="0" applyFont="1" fillId="6" applyFill="1" borderId="10" applyBorder="1" xfId="0"/>
    <xf numFmtId="0" applyNumberFormat="1" fontId="8" applyFont="1" fillId="6" applyFill="1" xfId="0"/>
    <xf numFmtId="10" applyNumberFormat="1" fontId="8" applyFont="1" fillId="6" applyFill="1" borderId="11" applyBorder="1" xfId="0"/>
    <xf numFmtId="0" applyNumberFormat="1" fontId="0" applyFont="1" fillId="6" applyFill="1" borderId="12" applyBorder="1" xfId="0"/>
    <xf numFmtId="0" applyNumberFormat="1" fontId="0" applyFont="1" fillId="6" applyFill="1" borderId="13" applyBorder="1" xfId="0"/>
    <xf numFmtId="0" applyNumberFormat="1" fontId="8" applyFont="1" fillId="6" applyFill="1" borderId="13" applyBorder="1" xfId="0"/>
    <xf numFmtId="10" applyNumberFormat="1" fontId="8" applyFont="1" fillId="6" applyFill="1" borderId="14" applyBorder="1" xfId="0"/>
    <xf numFmtId="0" applyNumberFormat="1" fontId="0" applyFont="1" fillId="6" applyFill="1" borderId="15" applyBorder="1" xfId="0"/>
    <xf numFmtId="0" applyNumberFormat="1" fontId="0" applyFont="1" fillId="6" applyFill="1" borderId="16" applyBorder="1" xfId="0"/>
    <xf numFmtId="0" applyNumberFormat="1" fontId="8" applyFont="1" fillId="6" applyFill="1" borderId="16" applyBorder="1" xfId="0"/>
    <xf numFmtId="10" applyNumberFormat="1" fontId="8" applyFont="1" fillId="6" applyFill="1" borderId="17" applyBorder="1" xfId="0"/>
    <xf numFmtId="0" applyNumberFormat="1" fontId="0" applyFont="1" fillId="7" applyFill="1" xfId="0"/>
    <xf numFmtId="0" applyNumberFormat="1" fontId="0" applyFont="1" fillId="7" applyFill="1" borderId="15" applyBorder="1" xfId="0"/>
    <xf numFmtId="0" applyNumberFormat="1" fontId="0" applyFont="1" fillId="7" applyFill="1" borderId="16" applyBorder="1" xfId="0"/>
    <xf numFmtId="0" applyNumberFormat="1" fontId="8" applyFont="1" fillId="7" applyFill="1" borderId="16" applyBorder="1" xfId="0"/>
    <xf numFmtId="10" applyNumberFormat="1" fontId="8" applyFont="1" fillId="7" applyFill="1" borderId="17" applyBorder="1" xfId="0"/>
    <xf numFmtId="0" applyNumberFormat="1" fontId="0" applyFont="1" fillId="7" applyFill="1" borderId="10" applyBorder="1" xfId="0"/>
    <xf numFmtId="0" applyNumberFormat="1" fontId="8" applyFont="1" fillId="7" applyFill="1" xfId="0"/>
    <xf numFmtId="10" applyNumberFormat="1" fontId="8" applyFont="1" fillId="7" applyFill="1" borderId="11" applyBorder="1" xfId="0"/>
    <xf numFmtId="0" applyNumberFormat="1" fontId="0" applyFont="1" fillId="7" applyFill="1" borderId="12" applyBorder="1" xfId="0"/>
    <xf numFmtId="0" applyNumberFormat="1" fontId="0" applyFont="1" fillId="7" applyFill="1" borderId="13" applyBorder="1" xfId="0"/>
    <xf numFmtId="0" applyNumberFormat="1" fontId="8" applyFont="1" fillId="7" applyFill="1" borderId="13" applyBorder="1" xfId="0"/>
    <xf numFmtId="10" applyNumberFormat="1" fontId="8" applyFont="1" fillId="7" applyFill="1" borderId="14" applyBorder="1" xfId="0"/>
    <xf numFmtId="0" applyNumberFormat="1" fontId="11" applyFont="1" fillId="0" applyFill="1" xfId="0"/>
    <xf numFmtId="0" applyNumberFormat="1" fontId="13" applyFont="1" fillId="0" applyFill="1" xfId="0"/>
    <xf numFmtId="0" applyNumberFormat="1" fontId="0" applyFont="1" fillId="0" applyFill="1" xfId="0" quotePrefix="1"/>
    <xf numFmtId="0" applyNumberFormat="1" fontId="11" applyFont="1" fillId="0" applyFill="1" xfId="0" quotePrefix="1"/>
    <xf numFmtId="0" applyNumberFormat="1" fontId="16" applyFont="1" fillId="0" applyFill="1" xfId="0"/>
    <xf numFmtId="0" applyNumberFormat="1" fontId="19" applyFont="1" fillId="0" applyFill="1" xfId="0"/>
    <xf numFmtId="0" applyNumberFormat="1" fontId="0" applyFont="1" fillId="0" applyFill="1" borderId="18" applyBorder="1" xfId="0"/>
    <xf numFmtId="0" applyNumberFormat="1" fontId="0" applyFont="1" fillId="0" applyFill="1" borderId="19" applyBorder="1" xfId="0"/>
    <xf numFmtId="0" applyNumberFormat="1" fontId="0" applyFont="1" fillId="0" applyFill="1" borderId="20" applyBorder="1" xfId="0"/>
    <xf numFmtId="0" applyNumberFormat="1" fontId="0" applyFont="1" fillId="2" applyFill="1" borderId="21" applyBorder="1" xfId="0"/>
    <xf numFmtId="0" applyNumberFormat="1" fontId="0" applyFont="1" fillId="8" applyFill="1" xfId="0"/>
    <xf numFmtId="0" applyNumberFormat="1" fontId="0" applyFont="1" fillId="8" applyFill="1" borderId="21" applyBorder="1" xfId="0"/>
    <xf numFmtId="0" applyNumberFormat="1" fontId="0" applyFont="1" fillId="8" applyFill="1" borderId="22" applyBorder="1" xfId="0"/>
    <xf numFmtId="0" applyNumberFormat="1" fontId="0" applyFont="1" fillId="9" applyFill="1" borderId="21" applyBorder="1" xfId="0"/>
    <xf numFmtId="0" applyNumberFormat="1" fontId="0" applyFont="1" fillId="9" applyFill="1" borderId="22" applyBorder="1" xfId="0"/>
    <xf numFmtId="0" applyNumberFormat="1" fontId="0" applyFont="1" fillId="9" applyFill="1" xfId="0"/>
    <xf numFmtId="0" applyNumberFormat="1" fontId="0" applyFont="1" fillId="4" applyFill="1" borderId="22" applyBorder="1" xfId="0"/>
    <xf numFmtId="0" applyNumberFormat="1" fontId="0" applyFont="1" fillId="4" applyFill="1" borderId="21" applyBorder="1" xfId="0"/>
    <xf numFmtId="0" applyNumberFormat="1" fontId="0" applyFont="1" fillId="3" applyFill="1" borderId="22" applyBorder="1" xfId="0"/>
    <xf numFmtId="0" applyNumberFormat="1" fontId="0" applyFont="1" fillId="3" applyFill="1" borderId="21" applyBorder="1" xfId="0"/>
    <xf numFmtId="0" applyNumberFormat="1" fontId="0" applyFont="1" fillId="10" applyFill="1" xfId="0"/>
    <xf numFmtId="0" applyNumberFormat="1" fontId="0" applyFont="1" fillId="10" applyFill="1" borderId="22" applyBorder="1" xfId="0"/>
    <xf numFmtId="0" applyNumberFormat="1" fontId="0" applyFont="1" fillId="11" applyFill="1" xfId="0"/>
    <xf numFmtId="0" applyNumberFormat="1" fontId="0" applyFont="1" fillId="12" applyFill="1" xfId="0"/>
    <xf numFmtId="0" applyNumberFormat="1" fontId="0" applyFont="1" fillId="11" applyFill="1" borderId="21" applyBorder="1" xfId="0"/>
    <xf numFmtId="0" applyNumberFormat="1" fontId="0" applyFont="1" fillId="11" applyFill="1" borderId="22" applyBorder="1" xfId="0"/>
    <xf numFmtId="0" applyNumberFormat="1" fontId="0" applyFont="1" fillId="13" applyFill="1" xfId="0"/>
    <xf numFmtId="0" applyNumberFormat="1" fontId="0" applyFont="1" fillId="10" applyFill="1" borderId="23" applyBorder="1" xfId="0"/>
    <xf numFmtId="0" applyNumberFormat="1" fontId="0" applyFont="1" fillId="14" applyFill="1" xfId="0"/>
    <xf numFmtId="0" applyNumberFormat="1" fontId="0" applyFont="1" fillId="11" applyFill="1" borderId="24" applyBorder="1" xfId="0"/>
    <xf numFmtId="0" applyNumberFormat="1" fontId="0" applyFont="1" fillId="2" applyFill="1" borderId="24" applyBorder="1" xfId="0"/>
    <xf numFmtId="0" applyNumberFormat="1" fontId="0" applyFont="1" fillId="9" applyFill="1" borderId="24" applyBorder="1" xfId="0"/>
    <xf numFmtId="0" applyNumberFormat="1" fontId="0" applyFont="1" fillId="8" applyFill="1" borderId="24" applyBorder="1" xfId="0"/>
    <xf numFmtId="0" applyNumberFormat="1" fontId="0" applyFont="1" fillId="3" applyFill="1" borderId="24" applyBorder="1" xfId="0"/>
    <xf numFmtId="0" applyNumberFormat="1" fontId="0" applyFont="1" fillId="4" applyFill="1" borderId="24" applyBorder="1" xfId="0"/>
    <xf numFmtId="0" applyNumberFormat="1" fontId="0" applyFont="1" fillId="10" applyFill="1" borderId="24" applyBorder="1" xfId="0"/>
    <xf numFmtId="0" applyNumberFormat="1" fontId="0" applyFont="1" fillId="10" applyFill="1" borderId="25" applyBorder="1" xfId="0"/>
    <xf numFmtId="0" applyNumberFormat="1" fontId="0" applyFont="1" fillId="14" applyFill="1" borderId="24" applyBorder="1" xfId="0"/>
    <xf numFmtId="0" applyNumberFormat="1" fontId="0" applyFont="1" fillId="0" applyFill="1" applyAlignment="1" xfId="0">
      <alignment vertical="center" horizontal="center"/>
    </xf>
    <xf numFmtId="0" applyNumberFormat="1" fontId="21" applyFont="1" fillId="0" applyFill="1" xfId="0"/>
    <xf numFmtId="164" applyNumberFormat="1" fontId="0" applyFont="1" fillId="0" applyFill="1" xfId="0"/>
    <xf numFmtId="165" applyNumberFormat="1" fontId="0" applyFont="1" fillId="0" applyFill="1" xfId="0"/>
    <xf numFmtId="166" applyNumberFormat="1" fontId="0" applyFont="1" fillId="0" applyFill="1" xfId="0"/>
    <xf numFmtId="167" applyNumberFormat="1" fontId="0" applyFont="1" fillId="0" applyFill="1" xfId="0"/>
    <xf numFmtId="168" applyNumberFormat="1" fontId="0" applyFont="1" fillId="0" applyFill="1" xfId="0"/>
    <xf numFmtId="2" applyNumberFormat="1" fontId="0" applyFont="1" fillId="0" applyFill="1" xfId="0"/>
    <xf numFmtId="0" applyNumberFormat="1" fontId="23" applyFont="1" fillId="0" applyFill="1" xfId="0"/>
    <xf numFmtId="0" applyNumberFormat="1" fontId="0" applyFont="1" fillId="0" applyFill="1" xfId="0"/>
    <xf numFmtId="0" applyNumberFormat="1" fontId="24" applyFont="1" fillId="0" applyFill="1" xfId="0"/>
    <xf numFmtId="0" applyNumberFormat="1" fontId="0" applyFont="1" fillId="11" applyFill="1" borderId="26" applyBorder="1" xfId="0"/>
    <xf numFmtId="0" applyNumberFormat="1" fontId="0" applyFont="1" fillId="0" applyFill="1" applyAlignment="1" xfId="0">
      <alignment wrapText="1"/>
    </xf>
    <xf numFmtId="0" applyNumberFormat="1" fontId="0" applyFont="1" fillId="0" applyFill="1" borderId="26" applyBorder="1" applyAlignment="1" xfId="0">
      <alignment wrapText="1"/>
    </xf>
    <xf numFmtId="0" applyNumberFormat="1" fontId="0" applyFont="1" fillId="2" applyFill="1" borderId="27" applyBorder="1" xfId="0"/>
    <xf numFmtId="0" applyNumberFormat="1" fontId="26" applyFont="1" fillId="0" applyFill="1" xfId="0"/>
    <xf numFmtId="0" applyNumberFormat="1" fontId="0" applyFont="1" fillId="0" applyFill="1" borderId="28" applyBorder="1" applyAlignment="1" xfId="0">
      <alignment horizontal="center"/>
    </xf>
    <xf numFmtId="0" applyNumberFormat="1" fontId="0" applyFont="1" fillId="0" applyFill="1" borderId="29" applyBorder="1" applyAlignment="1" xfId="0">
      <alignment horizontal="center"/>
    </xf>
    <xf numFmtId="0" applyNumberFormat="1" fontId="0" applyFont="1" fillId="2" applyFill="1" borderId="30" applyBorder="1" xfId="0"/>
    <xf numFmtId="0" applyNumberFormat="1" fontId="27" applyFont="1" fillId="0" applyFill="1" applyAlignment="1" applyProtection="1" xfId="0">
      <alignment/>
      <protection/>
    </xf>
    <xf numFmtId="0" applyNumberFormat="1" fontId="28" applyFont="1" fillId="15" applyFill="1" applyAlignment="1" applyProtection="1" xfId="0">
      <alignment vertical="center" horizontal="center"/>
      <protection/>
    </xf>
    <xf numFmtId="0" applyNumberFormat="1" fontId="29" applyFont="1" fillId="16" applyFill="1" applyAlignment="1" applyProtection="1" xfId="0">
      <alignment vertical="center" horizontal="left"/>
      <protection/>
    </xf>
    <xf numFmtId="0" applyNumberFormat="1" fontId="30" applyFont="1" fillId="17" applyFill="1" applyAlignment="1" applyProtection="1" xfId="0">
      <alignment vertical="center" horizontal="center"/>
      <protection/>
    </xf>
    <xf numFmtId="0" applyNumberFormat="1" fontId="28" applyFont="1" fillId="18" applyFill="1" applyAlignment="1" applyProtection="1" xfId="0">
      <alignment vertical="center" horizontal="center"/>
      <protection/>
    </xf>
    <xf numFmtId="0" applyNumberFormat="1" fontId="31" applyFont="1" fillId="0" applyFill="1" applyAlignment="1" applyProtection="1" xfId="0">
      <alignment vertical="center" horizontal="center"/>
      <protection/>
    </xf>
    <xf numFmtId="168" applyNumberFormat="1" fontId="31" applyFont="1" fillId="0" applyFill="1" applyAlignment="1" applyProtection="1" xfId="0">
      <alignment vertical="center" horizontal="center"/>
      <protection/>
    </xf>
    <xf numFmtId="0" applyNumberFormat="1" fontId="31" applyFont="1" fillId="0" applyFill="1" applyAlignment="1" applyProtection="1" xfId="0">
      <alignment vertical="center" horizontal="left"/>
      <protection/>
    </xf>
    <xf numFmtId="0" applyNumberFormat="1" fontId="32" applyFont="1" fillId="0" applyFill="1" applyAlignment="1" applyProtection="1" xfId="0">
      <alignment wrapText="1" vertical="center" horizontal="left"/>
      <protection/>
    </xf>
    <xf numFmtId="0" applyNumberFormat="1" fontId="28" applyFont="1" fillId="19" applyFill="1" applyAlignment="1" applyProtection="1" xfId="0">
      <alignment vertical="center" horizontal="center"/>
      <protection/>
    </xf>
    <xf numFmtId="0" applyNumberFormat="1" fontId="28" applyFont="1" fillId="20" applyFill="1" applyAlignment="1" applyProtection="1" xfId="0">
      <alignment vertical="center" horizontal="center"/>
      <protection/>
    </xf>
    <xf numFmtId="0" applyNumberFormat="1" fontId="28" applyFont="1" fillId="21" applyFill="1" applyAlignment="1" applyProtection="1" xfId="0">
      <alignment vertical="center" horizontal="center"/>
      <protection/>
    </xf>
    <xf numFmtId="0" applyNumberFormat="1" fontId="28" applyFont="1" fillId="22" applyFill="1" applyAlignment="1" applyProtection="1" xfId="0">
      <alignment vertical="center" horizontal="center"/>
      <protection/>
    </xf>
    <xf numFmtId="0" applyNumberFormat="1" fontId="28" applyFont="1" fillId="23" applyFill="1" applyAlignment="1" applyProtection="1" xfId="0">
      <alignment vertical="center" horizontal="center"/>
      <protection/>
    </xf>
    <xf numFmtId="0" applyNumberFormat="1" fontId="28" applyFont="1" fillId="24" applyFill="1" applyAlignment="1" applyProtection="1" xfId="0">
      <alignment vertical="center" horizontal="center"/>
      <protection/>
    </xf>
    <xf numFmtId="0" applyNumberFormat="1" fontId="28" applyFont="1" fillId="25" applyFill="1" applyAlignment="1" applyProtection="1" xfId="0">
      <alignment vertical="center" horizontal="center"/>
      <protection/>
    </xf>
    <xf numFmtId="0" applyNumberFormat="1" fontId="33" applyFont="1" fillId="26" applyFill="1" borderId="31" applyBorder="1" applyAlignment="1" applyProtection="1" xfId="0">
      <alignment vertical="center" horizontal="center"/>
      <protection/>
    </xf>
    <xf numFmtId="0" applyNumberFormat="1" fontId="28" applyFont="1" fillId="19" applyFill="1" borderId="31" applyBorder="1" applyAlignment="1" applyProtection="1" xfId="0">
      <alignment vertical="center" horizontal="center"/>
      <protection/>
    </xf>
    <xf numFmtId="0" applyNumberFormat="1" fontId="31" applyFont="1" fillId="26" applyFill="1" borderId="31" applyBorder="1" applyAlignment="1" applyProtection="1" xfId="0">
      <alignment vertical="center" horizontal="center"/>
      <protection/>
    </xf>
    <xf numFmtId="168" applyNumberFormat="1" fontId="31" applyFont="1" fillId="0" applyFill="1" borderId="31" applyBorder="1" applyAlignment="1" applyProtection="1" xfId="0">
      <alignment vertical="center" horizontal="center"/>
      <protection/>
    </xf>
    <xf numFmtId="0" applyNumberFormat="1" fontId="31" applyFont="1" fillId="0" applyFill="1" borderId="31" applyBorder="1" applyAlignment="1" applyProtection="1" xfId="0">
      <alignment vertical="center" horizontal="left"/>
      <protection/>
    </xf>
    <xf numFmtId="0" applyNumberFormat="1" fontId="32" applyFont="1" fillId="0" applyFill="1" borderId="31" applyBorder="1" applyAlignment="1" applyProtection="1" xfId="0">
      <alignment wrapText="1" vertical="center" horizontal="left"/>
      <protection/>
    </xf>
    <xf numFmtId="0" applyNumberFormat="1" fontId="33" applyFont="1" fillId="26" applyFill="1" applyAlignment="1" applyProtection="1" xfId="0">
      <alignment vertical="center" horizontal="center"/>
      <protection/>
    </xf>
    <xf numFmtId="0" applyNumberFormat="1" fontId="31" applyFont="1" fillId="26" applyFill="1" applyAlignment="1" applyProtection="1" xfId="0">
      <alignment vertical="center" horizontal="center"/>
      <protection/>
    </xf>
    <xf numFmtId="0" applyNumberFormat="1" fontId="35" applyFont="1" fillId="0" applyFill="1" xfId="0"/>
    <xf numFmtId="0" applyNumberFormat="1" fontId="36" applyFont="1" fillId="0" applyFill="1" xfId="0"/>
    <xf numFmtId="0" applyNumberFormat="1" fontId="38" applyFont="1" fillId="0" applyFill="1" xfId="0"/>
    <xf numFmtId="49" applyNumberFormat="1" fontId="0" applyFont="1" fillId="0" applyFill="1" xfId="0"/>
    <xf numFmtId="49" applyNumberFormat="1" fontId="0" applyFont="1" fillId="0" applyFill="1" borderId="32" applyBorder="1" xfId="0"/>
    <xf numFmtId="49" applyNumberFormat="1" fontId="0" applyFont="1" fillId="0" applyFill="1" borderId="3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>
      <pane activePane="bottomLeft" ySplit="1" topLeftCell="A464" state="frozen"/>
      <selection activeCell="J484" activeCellId="0" sqref="J484" pane="bottomLeft"/>
    </sheetView>
  </sheetViews>
  <sheetFormatPr defaultRowHeight="15" x14ac:dyDescent="0.25" outlineLevelRow="0" outlineLevelCol="0"/>
  <cols>
    <col min="1" max="1" width="13.6328125" customWidth="1"/>
    <col min="2" max="2" width="11.36328125" customWidth="1" bestFit="1"/>
    <col min="3" max="3" width="14.36328125" customWidth="1" bestFit="1"/>
    <col min="6" max="6" width="8.90625" customWidth="1" bestFit="1"/>
    <col min="7" max="7" width="8.90625" customWidth="1" bestFit="1"/>
    <col min="8" max="8" width="12" customWidth="1" bestFit="1"/>
    <col min="9" max="9" width="8.7265625" style="30"/>
    <col min="10" max="10" width="8.7265625" style="144"/>
  </cols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6</v>
      </c>
      <c r="G1" s="23" t="s">
        <v>16</v>
      </c>
      <c r="H1" s="23" t="s">
        <v>15</v>
      </c>
      <c r="I1" s="31" t="s">
        <v>7</v>
      </c>
      <c r="J1" s="145" t="s">
        <v>5</v>
      </c>
      <c r="K1" s="23" t="s">
        <v>8</v>
      </c>
    </row>
    <row r="2">
      <c r="A2" s="25">
        <v>2012</v>
      </c>
      <c r="B2" t="s">
        <v>10</v>
      </c>
      <c r="C2" t="s">
        <v>12</v>
      </c>
      <c r="D2" t="s">
        <v>11</v>
      </c>
      <c r="E2" t="s">
        <v>13</v>
      </c>
      <c r="F2">
        <v>46028542</v>
      </c>
      <c r="G2">
        <v>36584399</v>
      </c>
      <c r="H2">
        <v>701190</v>
      </c>
      <c r="I2" s="30">
        <f>G2-H2</f>
        <v>35883209</v>
      </c>
      <c r="J2" s="144" t="s">
        <v>14</v>
      </c>
      <c r="K2">
        <v>828345</v>
      </c>
    </row>
    <row r="3" customFormat="1" s="0">
      <c r="A3" s="25">
        <v>2012</v>
      </c>
      <c r="B3" t="s">
        <v>10</v>
      </c>
      <c r="C3" t="s">
        <v>12</v>
      </c>
      <c r="D3" t="s">
        <v>11</v>
      </c>
      <c r="E3" t="s">
        <v>13</v>
      </c>
      <c r="F3">
        <v>46028542</v>
      </c>
      <c r="G3">
        <v>36584399</v>
      </c>
      <c r="H3">
        <v>701190</v>
      </c>
      <c r="I3" s="30">
        <f>G3-H3</f>
        <v>35883209</v>
      </c>
      <c r="J3" s="144" t="s">
        <v>20</v>
      </c>
      <c r="K3">
        <v>6421426</v>
      </c>
    </row>
    <row r="4" customFormat="1" s="0">
      <c r="A4" s="25">
        <v>2012</v>
      </c>
      <c r="B4" t="s">
        <v>10</v>
      </c>
      <c r="C4" t="s">
        <v>12</v>
      </c>
      <c r="D4" t="s">
        <v>11</v>
      </c>
      <c r="E4" t="s">
        <v>13</v>
      </c>
      <c r="F4">
        <v>46028542</v>
      </c>
      <c r="G4">
        <v>36584399</v>
      </c>
      <c r="H4">
        <v>701190</v>
      </c>
      <c r="I4" s="30">
        <f>G4-H4</f>
        <v>35883209</v>
      </c>
      <c r="J4" s="144" t="s">
        <v>21</v>
      </c>
      <c r="K4">
        <v>9753629</v>
      </c>
    </row>
    <row r="5" customFormat="1" s="0">
      <c r="A5" s="25">
        <v>2012</v>
      </c>
      <c r="B5" t="s">
        <v>10</v>
      </c>
      <c r="C5" t="s">
        <v>12</v>
      </c>
      <c r="D5" t="s">
        <v>11</v>
      </c>
      <c r="E5" t="s">
        <v>13</v>
      </c>
      <c r="F5">
        <v>46028542</v>
      </c>
      <c r="G5">
        <v>36584399</v>
      </c>
      <c r="H5">
        <v>701190</v>
      </c>
      <c r="I5" s="30">
        <f>G5-H5</f>
        <v>35883209</v>
      </c>
      <c r="J5" s="144" t="s">
        <v>22</v>
      </c>
      <c r="K5">
        <v>3984822</v>
      </c>
    </row>
    <row r="6" customFormat="1" s="0">
      <c r="A6" s="25">
        <v>2012</v>
      </c>
      <c r="B6" t="s">
        <v>10</v>
      </c>
      <c r="C6" t="s">
        <v>12</v>
      </c>
      <c r="D6" t="s">
        <v>11</v>
      </c>
      <c r="E6" t="s">
        <v>13</v>
      </c>
      <c r="F6">
        <v>46028542</v>
      </c>
      <c r="G6">
        <v>36584399</v>
      </c>
      <c r="H6">
        <v>701190</v>
      </c>
      <c r="I6" s="30">
        <f>G6-H6</f>
        <v>35883209</v>
      </c>
      <c r="J6" s="144" t="s">
        <v>23</v>
      </c>
      <c r="K6">
        <v>411160</v>
      </c>
    </row>
    <row r="7" customFormat="1" s="0">
      <c r="A7" s="25">
        <v>2012</v>
      </c>
      <c r="B7" t="s">
        <v>10</v>
      </c>
      <c r="C7" t="s">
        <v>12</v>
      </c>
      <c r="D7" t="s">
        <v>11</v>
      </c>
      <c r="E7" t="s">
        <v>13</v>
      </c>
      <c r="F7">
        <v>46028542</v>
      </c>
      <c r="G7">
        <v>36584399</v>
      </c>
      <c r="H7">
        <v>701190</v>
      </c>
      <c r="I7" s="30">
        <f>G7-H7</f>
        <v>35883209</v>
      </c>
      <c r="J7" s="144" t="s">
        <v>23</v>
      </c>
      <c r="K7">
        <v>202548</v>
      </c>
    </row>
    <row r="8" customFormat="1" s="0">
      <c r="A8" s="25">
        <v>2012</v>
      </c>
      <c r="B8" t="s">
        <v>10</v>
      </c>
      <c r="C8" t="s">
        <v>12</v>
      </c>
      <c r="D8" t="s">
        <v>11</v>
      </c>
      <c r="E8" t="s">
        <v>13</v>
      </c>
      <c r="F8">
        <v>46028542</v>
      </c>
      <c r="G8">
        <v>36584399</v>
      </c>
      <c r="H8">
        <v>701190</v>
      </c>
      <c r="I8" s="30">
        <f>G8-H8</f>
        <v>35883209</v>
      </c>
      <c r="J8" s="144" t="s">
        <v>24</v>
      </c>
      <c r="K8">
        <v>89545</v>
      </c>
    </row>
    <row r="9" customFormat="1" s="0">
      <c r="A9" s="25">
        <v>2012</v>
      </c>
      <c r="B9" t="s">
        <v>10</v>
      </c>
      <c r="C9" t="s">
        <v>12</v>
      </c>
      <c r="D9" t="s">
        <v>11</v>
      </c>
      <c r="E9" t="s">
        <v>13</v>
      </c>
      <c r="F9">
        <v>46028542</v>
      </c>
      <c r="G9">
        <v>36584399</v>
      </c>
      <c r="H9">
        <v>701190</v>
      </c>
      <c r="I9" s="30">
        <f>G9-H9</f>
        <v>35883209</v>
      </c>
      <c r="J9" s="144" t="s">
        <v>25</v>
      </c>
      <c r="K9">
        <v>3275122</v>
      </c>
    </row>
    <row r="10" customFormat="1" s="0">
      <c r="A10" s="25">
        <v>2012</v>
      </c>
      <c r="B10" t="s">
        <v>10</v>
      </c>
      <c r="C10" t="s">
        <v>12</v>
      </c>
      <c r="D10" t="s">
        <v>11</v>
      </c>
      <c r="E10" t="s">
        <v>13</v>
      </c>
      <c r="F10">
        <v>46028542</v>
      </c>
      <c r="G10">
        <v>36584399</v>
      </c>
      <c r="H10">
        <v>701190</v>
      </c>
      <c r="I10" s="30">
        <f>G10-H10</f>
        <v>35883209</v>
      </c>
      <c r="J10" s="144" t="s">
        <v>26</v>
      </c>
      <c r="K10">
        <v>643907</v>
      </c>
    </row>
    <row r="11" customFormat="1" s="0">
      <c r="A11" s="27">
        <v>2012</v>
      </c>
      <c r="B11" s="28" t="s">
        <v>10</v>
      </c>
      <c r="C11" s="28" t="s">
        <v>12</v>
      </c>
      <c r="D11" s="28" t="s">
        <v>11</v>
      </c>
      <c r="E11" s="28" t="s">
        <v>13</v>
      </c>
      <c r="F11" s="28">
        <v>46028542</v>
      </c>
      <c r="G11" s="28">
        <v>36584399</v>
      </c>
      <c r="H11" s="28">
        <v>701190</v>
      </c>
      <c r="I11" s="32">
        <f>G11-H11</f>
        <v>35883209</v>
      </c>
      <c r="J11" s="146" t="s">
        <v>33</v>
      </c>
      <c r="K11" s="28">
        <v>10272705</v>
      </c>
    </row>
    <row r="12" customFormat="1" s="0">
      <c r="A12" s="22">
        <v>2012</v>
      </c>
      <c r="B12" s="23" t="s">
        <v>10</v>
      </c>
      <c r="C12" s="23" t="s">
        <v>12</v>
      </c>
      <c r="D12" s="23" t="s">
        <v>11</v>
      </c>
      <c r="E12" s="23" t="s">
        <v>19</v>
      </c>
      <c r="F12" s="23">
        <v>46066307</v>
      </c>
      <c r="G12" s="23">
        <v>37016309</v>
      </c>
      <c r="H12" s="23">
        <v>2154956</v>
      </c>
      <c r="I12" s="31">
        <f>G12-H12</f>
        <v>34861353</v>
      </c>
      <c r="J12" s="145" t="s">
        <v>33</v>
      </c>
      <c r="K12" s="23">
        <v>18000668</v>
      </c>
    </row>
    <row r="13" customFormat="1" s="0">
      <c r="A13" s="27">
        <v>2012</v>
      </c>
      <c r="B13" s="28" t="s">
        <v>10</v>
      </c>
      <c r="C13" s="28" t="s">
        <v>12</v>
      </c>
      <c r="D13" s="28" t="s">
        <v>11</v>
      </c>
      <c r="E13" s="28" t="s">
        <v>19</v>
      </c>
      <c r="F13" s="28">
        <v>46066307</v>
      </c>
      <c r="G13" s="28">
        <v>37016309</v>
      </c>
      <c r="H13" s="28">
        <v>2154956</v>
      </c>
      <c r="I13" s="32">
        <f>G13-H13</f>
        <v>34861353</v>
      </c>
      <c r="J13" s="146" t="s">
        <v>21</v>
      </c>
      <c r="K13" s="28">
        <v>16860685</v>
      </c>
    </row>
    <row r="14" customFormat="1" s="0">
      <c r="A14" s="22">
        <v>2012</v>
      </c>
      <c r="B14" s="23" t="s">
        <v>10</v>
      </c>
      <c r="C14" s="23" t="s">
        <v>163</v>
      </c>
      <c r="D14" s="23">
        <v>43</v>
      </c>
      <c r="E14" s="23" t="s">
        <v>13</v>
      </c>
      <c r="F14" s="23">
        <v>176103</v>
      </c>
      <c r="G14" s="23">
        <v>148878</v>
      </c>
      <c r="H14" s="23">
        <v>3779</v>
      </c>
      <c r="I14" s="31">
        <f>G14-H14</f>
        <v>145099</v>
      </c>
      <c r="J14" s="145" t="s">
        <v>14</v>
      </c>
      <c r="K14" s="23">
        <v>3041</v>
      </c>
    </row>
    <row r="15" customFormat="1" s="0">
      <c r="A15" s="25">
        <v>2012</v>
      </c>
      <c r="B15" t="s">
        <v>10</v>
      </c>
      <c r="C15" t="s">
        <v>163</v>
      </c>
      <c r="D15">
        <v>43</v>
      </c>
      <c r="E15" t="s">
        <v>13</v>
      </c>
      <c r="F15">
        <v>176103</v>
      </c>
      <c r="G15">
        <v>148878</v>
      </c>
      <c r="H15">
        <v>3779</v>
      </c>
      <c r="I15" s="30">
        <f>G15-H15</f>
        <v>145099</v>
      </c>
      <c r="J15" s="144" t="s">
        <v>20</v>
      </c>
      <c r="K15">
        <v>29600</v>
      </c>
    </row>
    <row r="16" customFormat="1" s="0">
      <c r="A16" s="25">
        <v>2012</v>
      </c>
      <c r="B16" t="s">
        <v>10</v>
      </c>
      <c r="C16" t="s">
        <v>163</v>
      </c>
      <c r="D16">
        <v>43</v>
      </c>
      <c r="E16" t="s">
        <v>13</v>
      </c>
      <c r="F16">
        <v>176103</v>
      </c>
      <c r="G16">
        <v>148878</v>
      </c>
      <c r="H16">
        <v>3779</v>
      </c>
      <c r="I16" s="30">
        <f>G16-H16</f>
        <v>145099</v>
      </c>
      <c r="J16" s="144" t="s">
        <v>21</v>
      </c>
      <c r="K16">
        <v>35438</v>
      </c>
    </row>
    <row r="17" customFormat="1" s="0">
      <c r="A17" s="25">
        <v>2012</v>
      </c>
      <c r="B17" t="s">
        <v>10</v>
      </c>
      <c r="C17" t="s">
        <v>163</v>
      </c>
      <c r="D17">
        <v>43</v>
      </c>
      <c r="E17" t="s">
        <v>13</v>
      </c>
      <c r="F17">
        <v>176103</v>
      </c>
      <c r="G17">
        <v>148878</v>
      </c>
      <c r="H17">
        <v>3779</v>
      </c>
      <c r="I17" s="30">
        <f>G17-H17</f>
        <v>145099</v>
      </c>
      <c r="J17" s="144" t="s">
        <v>22</v>
      </c>
      <c r="K17">
        <v>16214</v>
      </c>
    </row>
    <row r="18" customFormat="1" s="0">
      <c r="A18" s="25">
        <v>2012</v>
      </c>
      <c r="B18" t="s">
        <v>10</v>
      </c>
      <c r="C18" t="s">
        <v>163</v>
      </c>
      <c r="D18">
        <v>43</v>
      </c>
      <c r="E18" t="s">
        <v>13</v>
      </c>
      <c r="F18">
        <v>176103</v>
      </c>
      <c r="G18">
        <v>148878</v>
      </c>
      <c r="H18">
        <v>3779</v>
      </c>
      <c r="I18" s="30">
        <f>G18-H18</f>
        <v>145099</v>
      </c>
      <c r="J18" s="144" t="s">
        <v>23</v>
      </c>
      <c r="K18">
        <v>1931</v>
      </c>
    </row>
    <row r="19" customFormat="1" s="0">
      <c r="A19" s="25">
        <v>2012</v>
      </c>
      <c r="B19" t="s">
        <v>10</v>
      </c>
      <c r="C19" t="s">
        <v>163</v>
      </c>
      <c r="D19">
        <v>43</v>
      </c>
      <c r="E19" t="s">
        <v>13</v>
      </c>
      <c r="F19">
        <v>176103</v>
      </c>
      <c r="G19">
        <v>148878</v>
      </c>
      <c r="H19">
        <v>3779</v>
      </c>
      <c r="I19" s="30">
        <f>G19-H19</f>
        <v>145099</v>
      </c>
      <c r="J19" s="144" t="s">
        <v>23</v>
      </c>
      <c r="K19">
        <v>1067</v>
      </c>
    </row>
    <row r="20" customFormat="1" s="0">
      <c r="A20" s="25">
        <v>2012</v>
      </c>
      <c r="B20" t="s">
        <v>10</v>
      </c>
      <c r="C20" t="s">
        <v>163</v>
      </c>
      <c r="D20">
        <v>43</v>
      </c>
      <c r="E20" t="s">
        <v>13</v>
      </c>
      <c r="F20">
        <v>176103</v>
      </c>
      <c r="G20">
        <v>148878</v>
      </c>
      <c r="H20">
        <v>3779</v>
      </c>
      <c r="I20" s="30">
        <f>G20-H20</f>
        <v>145099</v>
      </c>
      <c r="J20" s="144" t="s">
        <v>24</v>
      </c>
      <c r="K20">
        <v>322</v>
      </c>
    </row>
    <row r="21" customFormat="1" s="0">
      <c r="A21" s="25">
        <v>2012</v>
      </c>
      <c r="B21" t="s">
        <v>10</v>
      </c>
      <c r="C21" t="s">
        <v>163</v>
      </c>
      <c r="D21">
        <v>43</v>
      </c>
      <c r="E21" t="s">
        <v>13</v>
      </c>
      <c r="F21">
        <v>176103</v>
      </c>
      <c r="G21">
        <v>148878</v>
      </c>
      <c r="H21">
        <v>3779</v>
      </c>
      <c r="I21" s="30">
        <f>G21-H21</f>
        <v>145099</v>
      </c>
      <c r="J21" s="144" t="s">
        <v>25</v>
      </c>
      <c r="K21">
        <v>16212</v>
      </c>
    </row>
    <row r="22" customFormat="1" s="0">
      <c r="A22" s="25">
        <v>2012</v>
      </c>
      <c r="B22" t="s">
        <v>10</v>
      </c>
      <c r="C22" t="s">
        <v>163</v>
      </c>
      <c r="D22">
        <v>43</v>
      </c>
      <c r="E22" t="s">
        <v>13</v>
      </c>
      <c r="F22">
        <v>176103</v>
      </c>
      <c r="G22">
        <v>148878</v>
      </c>
      <c r="H22">
        <v>3779</v>
      </c>
      <c r="I22" s="30">
        <f>G22-H22</f>
        <v>145099</v>
      </c>
      <c r="J22" s="144" t="s">
        <v>26</v>
      </c>
      <c r="K22">
        <v>3021</v>
      </c>
    </row>
    <row r="23" customFormat="1" s="0">
      <c r="A23" s="27">
        <v>2012</v>
      </c>
      <c r="B23" s="28" t="s">
        <v>10</v>
      </c>
      <c r="C23" s="28" t="s">
        <v>163</v>
      </c>
      <c r="D23">
        <v>43</v>
      </c>
      <c r="E23" s="28" t="s">
        <v>13</v>
      </c>
      <c r="F23" s="28">
        <v>176103</v>
      </c>
      <c r="G23" s="28">
        <v>148878</v>
      </c>
      <c r="H23" s="28">
        <v>3779</v>
      </c>
      <c r="I23" s="32">
        <f>G23-H23</f>
        <v>145099</v>
      </c>
      <c r="J23" s="146" t="s">
        <v>33</v>
      </c>
      <c r="K23" s="28">
        <v>38253</v>
      </c>
    </row>
    <row r="24" customFormat="1" s="0">
      <c r="A24" s="22">
        <v>2012</v>
      </c>
      <c r="B24" s="23" t="s">
        <v>10</v>
      </c>
      <c r="C24" s="23" t="s">
        <v>163</v>
      </c>
      <c r="D24" s="23">
        <v>43</v>
      </c>
      <c r="E24" s="23" t="s">
        <v>19</v>
      </c>
      <c r="F24" s="23">
        <v>176028</v>
      </c>
      <c r="G24" s="23">
        <v>148572</v>
      </c>
      <c r="H24" s="23">
        <v>11381</v>
      </c>
      <c r="I24" s="31">
        <f>G24-H24</f>
        <v>137191</v>
      </c>
      <c r="J24" s="145" t="s">
        <v>33</v>
      </c>
      <c r="K24" s="23">
        <v>70488</v>
      </c>
    </row>
    <row r="25" customFormat="1" s="0">
      <c r="A25" s="27">
        <v>2012</v>
      </c>
      <c r="B25" s="28" t="s">
        <v>10</v>
      </c>
      <c r="C25" s="28" t="s">
        <v>163</v>
      </c>
      <c r="D25" s="28">
        <v>43</v>
      </c>
      <c r="E25" s="28" t="s">
        <v>19</v>
      </c>
      <c r="F25" s="28">
        <v>176028</v>
      </c>
      <c r="G25" s="28">
        <v>148572</v>
      </c>
      <c r="H25" s="28">
        <v>11381</v>
      </c>
      <c r="I25" s="32">
        <f>G25-H25</f>
        <v>137191</v>
      </c>
      <c r="J25" s="146" t="s">
        <v>21</v>
      </c>
      <c r="K25" s="28">
        <v>66703</v>
      </c>
    </row>
    <row r="26" customFormat="1" s="0">
      <c r="A26" s="22">
        <v>2012</v>
      </c>
      <c r="B26" s="23" t="s">
        <v>164</v>
      </c>
      <c r="C26" s="23" t="s">
        <v>12</v>
      </c>
      <c r="D26" s="23" t="s">
        <v>11</v>
      </c>
      <c r="E26" s="23" t="s">
        <v>13</v>
      </c>
      <c r="F26" s="23">
        <v>46082104</v>
      </c>
      <c r="G26" s="23">
        <v>26369126</v>
      </c>
      <c r="H26" s="23">
        <v>416267</v>
      </c>
      <c r="I26" s="31">
        <f>G26-H26</f>
        <v>25952859</v>
      </c>
      <c r="J26" s="145" t="s">
        <v>23</v>
      </c>
      <c r="K26" s="23">
        <v>253386</v>
      </c>
    </row>
    <row r="27">
      <c r="A27" s="25">
        <v>2012</v>
      </c>
      <c r="B27" t="s">
        <v>164</v>
      </c>
      <c r="C27" t="s">
        <v>12</v>
      </c>
      <c r="D27" t="s">
        <v>11</v>
      </c>
      <c r="E27" t="s">
        <v>13</v>
      </c>
      <c r="F27">
        <v>46082104</v>
      </c>
      <c r="G27">
        <v>26369126</v>
      </c>
      <c r="H27">
        <v>416267</v>
      </c>
      <c r="I27" s="30">
        <f>G27-H27</f>
        <v>25952859</v>
      </c>
      <c r="J27" s="144" t="s">
        <v>22</v>
      </c>
      <c r="K27">
        <v>1793192</v>
      </c>
    </row>
    <row r="28">
      <c r="A28" s="25">
        <v>2012</v>
      </c>
      <c r="B28" t="s">
        <v>164</v>
      </c>
      <c r="C28" t="s">
        <v>12</v>
      </c>
      <c r="D28" t="s">
        <v>11</v>
      </c>
      <c r="E28" t="s">
        <v>13</v>
      </c>
      <c r="F28">
        <v>46082104</v>
      </c>
      <c r="G28">
        <v>26369126</v>
      </c>
      <c r="H28">
        <v>416267</v>
      </c>
      <c r="I28" s="30">
        <f>G28-H28</f>
        <v>25952859</v>
      </c>
      <c r="J28" s="144" t="s">
        <v>33</v>
      </c>
      <c r="K28">
        <v>7618326</v>
      </c>
    </row>
    <row r="29">
      <c r="A29" s="25">
        <v>2012</v>
      </c>
      <c r="B29" t="s">
        <v>164</v>
      </c>
      <c r="C29" t="s">
        <v>12</v>
      </c>
      <c r="D29" t="s">
        <v>11</v>
      </c>
      <c r="E29" t="s">
        <v>13</v>
      </c>
      <c r="F29">
        <v>46082104</v>
      </c>
      <c r="G29">
        <v>26369126</v>
      </c>
      <c r="H29">
        <v>416267</v>
      </c>
      <c r="I29" s="30">
        <f>G29-H29</f>
        <v>25952859</v>
      </c>
      <c r="J29" s="144" t="s">
        <v>50</v>
      </c>
      <c r="K29">
        <v>428898</v>
      </c>
    </row>
    <row r="30">
      <c r="A30" s="25">
        <v>2012</v>
      </c>
      <c r="B30" t="s">
        <v>164</v>
      </c>
      <c r="C30" t="s">
        <v>12</v>
      </c>
      <c r="D30" t="s">
        <v>11</v>
      </c>
      <c r="E30" t="s">
        <v>13</v>
      </c>
      <c r="F30">
        <v>46082104</v>
      </c>
      <c r="G30">
        <v>26369126</v>
      </c>
      <c r="H30">
        <v>416267</v>
      </c>
      <c r="I30" s="30">
        <f>G30-H30</f>
        <v>25952859</v>
      </c>
      <c r="J30" s="144" t="s">
        <v>43</v>
      </c>
      <c r="K30">
        <v>881555</v>
      </c>
    </row>
    <row r="31">
      <c r="A31" s="25">
        <v>2012</v>
      </c>
      <c r="B31" t="s">
        <v>164</v>
      </c>
      <c r="C31" t="s">
        <v>12</v>
      </c>
      <c r="D31" t="s">
        <v>11</v>
      </c>
      <c r="E31" t="s">
        <v>13</v>
      </c>
      <c r="F31">
        <v>46082104</v>
      </c>
      <c r="G31">
        <v>26369126</v>
      </c>
      <c r="H31">
        <v>416267</v>
      </c>
      <c r="I31" s="30">
        <f>G31-H31</f>
        <v>25952859</v>
      </c>
      <c r="J31" s="144" t="s">
        <v>51</v>
      </c>
      <c r="K31">
        <v>1418264</v>
      </c>
    </row>
    <row r="32">
      <c r="A32" s="25">
        <v>2012</v>
      </c>
      <c r="B32" t="s">
        <v>164</v>
      </c>
      <c r="C32" t="s">
        <v>12</v>
      </c>
      <c r="D32" t="s">
        <v>11</v>
      </c>
      <c r="E32" t="s">
        <v>13</v>
      </c>
      <c r="F32">
        <v>46082104</v>
      </c>
      <c r="G32">
        <v>26369126</v>
      </c>
      <c r="H32">
        <v>416267</v>
      </c>
      <c r="I32" s="30">
        <f>G32-H32</f>
        <v>25952859</v>
      </c>
      <c r="J32" s="144" t="s">
        <v>45</v>
      </c>
      <c r="K32">
        <v>145809</v>
      </c>
    </row>
    <row r="33">
      <c r="A33" s="25">
        <v>2012</v>
      </c>
      <c r="B33" t="s">
        <v>164</v>
      </c>
      <c r="C33" t="s">
        <v>12</v>
      </c>
      <c r="D33" t="s">
        <v>11</v>
      </c>
      <c r="E33" t="s">
        <v>13</v>
      </c>
      <c r="F33">
        <v>46082104</v>
      </c>
      <c r="G33">
        <v>26369126</v>
      </c>
      <c r="H33">
        <v>416267</v>
      </c>
      <c r="I33" s="30">
        <f>G33-H33</f>
        <v>25952859</v>
      </c>
      <c r="J33" s="144" t="s">
        <v>14</v>
      </c>
      <c r="K33">
        <v>249068</v>
      </c>
    </row>
    <row r="34">
      <c r="A34" s="25">
        <v>2012</v>
      </c>
      <c r="B34" t="s">
        <v>164</v>
      </c>
      <c r="C34" t="s">
        <v>12</v>
      </c>
      <c r="D34" t="s">
        <v>11</v>
      </c>
      <c r="E34" t="s">
        <v>13</v>
      </c>
      <c r="F34">
        <v>46082104</v>
      </c>
      <c r="G34">
        <v>26369126</v>
      </c>
      <c r="H34">
        <v>416267</v>
      </c>
      <c r="I34" s="30">
        <f>G34-H34</f>
        <v>25952859</v>
      </c>
      <c r="J34" s="144" t="s">
        <v>24</v>
      </c>
      <c r="K34">
        <v>133752</v>
      </c>
    </row>
    <row r="35">
      <c r="A35" s="25">
        <v>2012</v>
      </c>
      <c r="B35" t="s">
        <v>164</v>
      </c>
      <c r="C35" t="s">
        <v>12</v>
      </c>
      <c r="D35" t="s">
        <v>11</v>
      </c>
      <c r="E35" t="s">
        <v>13</v>
      </c>
      <c r="F35">
        <v>46082104</v>
      </c>
      <c r="G35">
        <v>26369126</v>
      </c>
      <c r="H35">
        <v>416267</v>
      </c>
      <c r="I35" s="30">
        <f>G35-H35</f>
        <v>25952859</v>
      </c>
      <c r="J35" s="144" t="s">
        <v>25</v>
      </c>
      <c r="K35">
        <v>458098</v>
      </c>
    </row>
    <row r="36">
      <c r="A36" s="25">
        <v>2012</v>
      </c>
      <c r="B36" t="s">
        <v>164</v>
      </c>
      <c r="C36" t="s">
        <v>12</v>
      </c>
      <c r="D36" t="s">
        <v>11</v>
      </c>
      <c r="E36" t="s">
        <v>13</v>
      </c>
      <c r="F36">
        <v>46082104</v>
      </c>
      <c r="G36">
        <v>26369126</v>
      </c>
      <c r="H36">
        <v>416267</v>
      </c>
      <c r="I36" s="30">
        <f>G36-H36</f>
        <v>25952859</v>
      </c>
      <c r="J36" s="144" t="s">
        <v>84</v>
      </c>
      <c r="K36">
        <v>156026</v>
      </c>
    </row>
    <row r="37">
      <c r="A37" s="25">
        <v>2012</v>
      </c>
      <c r="B37" t="s">
        <v>164</v>
      </c>
      <c r="C37" t="s">
        <v>12</v>
      </c>
      <c r="D37" t="s">
        <v>11</v>
      </c>
      <c r="E37" t="s">
        <v>13</v>
      </c>
      <c r="F37">
        <v>46082104</v>
      </c>
      <c r="G37">
        <v>26369126</v>
      </c>
      <c r="H37">
        <v>416267</v>
      </c>
      <c r="I37" s="30">
        <f>G37-H37</f>
        <v>25952859</v>
      </c>
      <c r="J37" s="144" t="s">
        <v>85</v>
      </c>
      <c r="K37">
        <v>321124</v>
      </c>
    </row>
    <row r="38">
      <c r="A38" s="25">
        <v>2012</v>
      </c>
      <c r="B38" t="s">
        <v>164</v>
      </c>
      <c r="C38" t="s">
        <v>12</v>
      </c>
      <c r="D38" t="s">
        <v>11</v>
      </c>
      <c r="E38" t="s">
        <v>13</v>
      </c>
      <c r="F38">
        <v>46082104</v>
      </c>
      <c r="G38">
        <v>26369126</v>
      </c>
      <c r="H38">
        <v>416267</v>
      </c>
      <c r="I38" s="30">
        <f>G38-H38</f>
        <v>25952859</v>
      </c>
      <c r="J38" s="144" t="s">
        <v>86</v>
      </c>
      <c r="K38">
        <v>569897</v>
      </c>
    </row>
    <row r="39">
      <c r="A39" s="25">
        <v>2012</v>
      </c>
      <c r="B39" t="s">
        <v>164</v>
      </c>
      <c r="C39" t="s">
        <v>12</v>
      </c>
      <c r="D39" t="s">
        <v>11</v>
      </c>
      <c r="E39" t="s">
        <v>13</v>
      </c>
      <c r="F39">
        <v>46082104</v>
      </c>
      <c r="G39">
        <v>26369126</v>
      </c>
      <c r="H39">
        <v>416267</v>
      </c>
      <c r="I39" s="30">
        <f>G39-H39</f>
        <v>25952859</v>
      </c>
      <c r="J39" s="144" t="s">
        <v>21</v>
      </c>
      <c r="K39">
        <v>7037268</v>
      </c>
    </row>
    <row r="40">
      <c r="A40" s="25">
        <v>2012</v>
      </c>
      <c r="B40" t="s">
        <v>164</v>
      </c>
      <c r="C40" t="s">
        <v>12</v>
      </c>
      <c r="D40" t="s">
        <v>11</v>
      </c>
      <c r="E40" t="s">
        <v>13</v>
      </c>
      <c r="F40">
        <v>46082104</v>
      </c>
      <c r="G40">
        <v>26369126</v>
      </c>
      <c r="H40">
        <v>416267</v>
      </c>
      <c r="I40" s="30">
        <f>G40-H40</f>
        <v>25952859</v>
      </c>
      <c r="J40" s="144" t="s">
        <v>26</v>
      </c>
      <c r="K40">
        <v>910034</v>
      </c>
    </row>
    <row r="41">
      <c r="A41" s="25">
        <v>2012</v>
      </c>
      <c r="B41" t="s">
        <v>164</v>
      </c>
      <c r="C41" t="s">
        <v>12</v>
      </c>
      <c r="D41" t="s">
        <v>11</v>
      </c>
      <c r="E41" t="s">
        <v>13</v>
      </c>
      <c r="F41">
        <v>46082104</v>
      </c>
      <c r="G41">
        <v>26369126</v>
      </c>
      <c r="H41">
        <v>416267</v>
      </c>
      <c r="I41" s="30">
        <f>G41-H41</f>
        <v>25952859</v>
      </c>
      <c r="J41" s="144" t="s">
        <v>20</v>
      </c>
      <c r="K41">
        <v>3528663</v>
      </c>
    </row>
    <row r="42">
      <c r="A42" s="27">
        <v>2012</v>
      </c>
      <c r="B42" s="28" t="s">
        <v>164</v>
      </c>
      <c r="C42" s="28" t="s">
        <v>12</v>
      </c>
      <c r="D42" s="28" t="s">
        <v>11</v>
      </c>
      <c r="E42" s="28" t="s">
        <v>13</v>
      </c>
      <c r="F42" s="28">
        <v>46082104</v>
      </c>
      <c r="G42" s="28">
        <v>26369126</v>
      </c>
      <c r="H42" s="28">
        <v>416267</v>
      </c>
      <c r="I42" s="32">
        <f>G42-H42</f>
        <v>25952859</v>
      </c>
      <c r="J42" s="146" t="s">
        <v>49</v>
      </c>
      <c r="K42" s="28">
        <v>49499</v>
      </c>
    </row>
    <row r="43">
      <c r="A43" s="22">
        <v>2012</v>
      </c>
      <c r="B43" s="23" t="s">
        <v>164</v>
      </c>
      <c r="C43" s="23" t="s">
        <v>12</v>
      </c>
      <c r="D43" s="23" t="s">
        <v>11</v>
      </c>
      <c r="E43" s="23" t="s">
        <v>19</v>
      </c>
      <c r="F43" s="23">
        <v>43233648</v>
      </c>
      <c r="G43" s="23">
        <v>23952486</v>
      </c>
      <c r="H43" s="23">
        <v>923178</v>
      </c>
      <c r="I43" s="31">
        <f>G43-H43</f>
        <v>23029308</v>
      </c>
      <c r="J43" s="145" t="s">
        <v>22</v>
      </c>
      <c r="K43" s="23">
        <v>249498</v>
      </c>
    </row>
    <row r="44">
      <c r="A44" s="25">
        <v>2012</v>
      </c>
      <c r="B44" t="s">
        <v>164</v>
      </c>
      <c r="C44" t="s">
        <v>12</v>
      </c>
      <c r="D44" t="s">
        <v>11</v>
      </c>
      <c r="E44" t="s">
        <v>19</v>
      </c>
      <c r="F44">
        <v>43233648</v>
      </c>
      <c r="G44">
        <v>23952486</v>
      </c>
      <c r="H44">
        <v>923178</v>
      </c>
      <c r="I44" s="30">
        <f>G44-H44</f>
        <v>23029308</v>
      </c>
      <c r="J44" s="144" t="s">
        <v>33</v>
      </c>
      <c r="K44">
        <v>9420889</v>
      </c>
    </row>
    <row r="45">
      <c r="A45" s="25">
        <v>2012</v>
      </c>
      <c r="B45" t="s">
        <v>164</v>
      </c>
      <c r="C45" t="s">
        <v>12</v>
      </c>
      <c r="D45" t="s">
        <v>11</v>
      </c>
      <c r="E45" t="s">
        <v>19</v>
      </c>
      <c r="F45">
        <v>43233648</v>
      </c>
      <c r="G45">
        <v>23952486</v>
      </c>
      <c r="H45">
        <v>923178</v>
      </c>
      <c r="I45" s="30">
        <f>G45-H45</f>
        <v>23029308</v>
      </c>
      <c r="J45" s="144" t="s">
        <v>50</v>
      </c>
      <c r="K45">
        <v>538331</v>
      </c>
    </row>
    <row r="46">
      <c r="A46" s="25">
        <v>2012</v>
      </c>
      <c r="B46" t="s">
        <v>164</v>
      </c>
      <c r="C46" t="s">
        <v>12</v>
      </c>
      <c r="D46" t="s">
        <v>11</v>
      </c>
      <c r="E46" t="s">
        <v>19</v>
      </c>
      <c r="F46">
        <v>43233648</v>
      </c>
      <c r="G46">
        <v>23952486</v>
      </c>
      <c r="H46">
        <v>923178</v>
      </c>
      <c r="I46" s="30">
        <f>G46-H46</f>
        <v>23029308</v>
      </c>
      <c r="J46" s="144" t="s">
        <v>43</v>
      </c>
      <c r="K46">
        <v>709395</v>
      </c>
    </row>
    <row r="47">
      <c r="A47" s="25">
        <v>2012</v>
      </c>
      <c r="B47" t="s">
        <v>164</v>
      </c>
      <c r="C47" t="s">
        <v>12</v>
      </c>
      <c r="D47" t="s">
        <v>11</v>
      </c>
      <c r="E47" t="s">
        <v>19</v>
      </c>
      <c r="F47">
        <v>43233648</v>
      </c>
      <c r="G47">
        <v>23952486</v>
      </c>
      <c r="H47">
        <v>923178</v>
      </c>
      <c r="I47" s="30">
        <f>G47-H47</f>
        <v>23029308</v>
      </c>
      <c r="J47" s="144" t="s">
        <v>51</v>
      </c>
      <c r="K47">
        <v>829036</v>
      </c>
    </row>
    <row r="48">
      <c r="A48" s="25">
        <v>2012</v>
      </c>
      <c r="B48" t="s">
        <v>164</v>
      </c>
      <c r="C48" t="s">
        <v>12</v>
      </c>
      <c r="D48" t="s">
        <v>11</v>
      </c>
      <c r="E48" t="s">
        <v>19</v>
      </c>
      <c r="F48">
        <v>43233648</v>
      </c>
      <c r="G48">
        <v>23952486</v>
      </c>
      <c r="H48">
        <v>923178</v>
      </c>
      <c r="I48" s="30">
        <f>G48-H48</f>
        <v>23029308</v>
      </c>
      <c r="J48" s="144" t="s">
        <v>45</v>
      </c>
      <c r="K48">
        <v>135312</v>
      </c>
    </row>
    <row r="49">
      <c r="A49" s="25">
        <v>2012</v>
      </c>
      <c r="B49" t="s">
        <v>164</v>
      </c>
      <c r="C49" t="s">
        <v>12</v>
      </c>
      <c r="D49" t="s">
        <v>11</v>
      </c>
      <c r="E49" t="s">
        <v>19</v>
      </c>
      <c r="F49">
        <v>43233648</v>
      </c>
      <c r="G49">
        <v>23952486</v>
      </c>
      <c r="H49">
        <v>923178</v>
      </c>
      <c r="I49" s="30">
        <f>G49-H49</f>
        <v>23029308</v>
      </c>
      <c r="J49" s="144" t="s">
        <v>25</v>
      </c>
      <c r="K49">
        <v>113196</v>
      </c>
    </row>
    <row r="50">
      <c r="A50" s="25">
        <v>2012</v>
      </c>
      <c r="B50" t="s">
        <v>164</v>
      </c>
      <c r="C50" t="s">
        <v>12</v>
      </c>
      <c r="D50" t="s">
        <v>11</v>
      </c>
      <c r="E50" t="s">
        <v>19</v>
      </c>
      <c r="F50">
        <v>43233648</v>
      </c>
      <c r="G50">
        <v>23952486</v>
      </c>
      <c r="H50">
        <v>923178</v>
      </c>
      <c r="I50" s="30">
        <f>G50-H50</f>
        <v>23029308</v>
      </c>
      <c r="J50" s="144" t="s">
        <v>84</v>
      </c>
      <c r="K50">
        <v>123132</v>
      </c>
    </row>
    <row r="51">
      <c r="A51" s="25">
        <v>2012</v>
      </c>
      <c r="B51" t="s">
        <v>164</v>
      </c>
      <c r="C51" t="s">
        <v>12</v>
      </c>
      <c r="D51" t="s">
        <v>11</v>
      </c>
      <c r="E51" t="s">
        <v>19</v>
      </c>
      <c r="F51">
        <v>43233648</v>
      </c>
      <c r="G51">
        <v>23952486</v>
      </c>
      <c r="H51">
        <v>923178</v>
      </c>
      <c r="I51" s="30">
        <f>G51-H51</f>
        <v>23029308</v>
      </c>
      <c r="J51" s="144" t="s">
        <v>85</v>
      </c>
      <c r="K51">
        <v>311199</v>
      </c>
    </row>
    <row r="52">
      <c r="A52" s="25">
        <v>2012</v>
      </c>
      <c r="B52" t="s">
        <v>164</v>
      </c>
      <c r="C52" t="s">
        <v>12</v>
      </c>
      <c r="D52" t="s">
        <v>11</v>
      </c>
      <c r="E52" t="s">
        <v>19</v>
      </c>
      <c r="F52">
        <v>43233648</v>
      </c>
      <c r="G52">
        <v>23952486</v>
      </c>
      <c r="H52">
        <v>923178</v>
      </c>
      <c r="I52" s="30">
        <f>G52-H52</f>
        <v>23029308</v>
      </c>
      <c r="J52" s="144" t="s">
        <v>86</v>
      </c>
      <c r="K52">
        <v>568319</v>
      </c>
    </row>
    <row r="53">
      <c r="A53" s="25">
        <v>2012</v>
      </c>
      <c r="B53" t="s">
        <v>164</v>
      </c>
      <c r="C53" t="s">
        <v>12</v>
      </c>
      <c r="D53" t="s">
        <v>11</v>
      </c>
      <c r="E53" t="s">
        <v>19</v>
      </c>
      <c r="F53">
        <v>43233648</v>
      </c>
      <c r="G53">
        <v>23952486</v>
      </c>
      <c r="H53">
        <v>923178</v>
      </c>
      <c r="I53" s="30">
        <f>G53-H53</f>
        <v>23029308</v>
      </c>
      <c r="J53" s="144" t="s">
        <v>21</v>
      </c>
      <c r="K53">
        <v>8740628</v>
      </c>
    </row>
    <row r="54">
      <c r="A54" s="25">
        <v>2012</v>
      </c>
      <c r="B54" t="s">
        <v>164</v>
      </c>
      <c r="C54" t="s">
        <v>12</v>
      </c>
      <c r="D54" t="s">
        <v>11</v>
      </c>
      <c r="E54" t="s">
        <v>19</v>
      </c>
      <c r="F54">
        <v>43233648</v>
      </c>
      <c r="G54">
        <v>23952486</v>
      </c>
      <c r="H54">
        <v>923178</v>
      </c>
      <c r="I54" s="30">
        <f>G54-H54</f>
        <v>23029308</v>
      </c>
      <c r="J54" s="144" t="s">
        <v>26</v>
      </c>
      <c r="K54">
        <v>417940</v>
      </c>
    </row>
    <row r="55">
      <c r="A55" s="25">
        <v>2012</v>
      </c>
      <c r="B55" t="s">
        <v>164</v>
      </c>
      <c r="C55" t="s">
        <v>12</v>
      </c>
      <c r="D55" t="s">
        <v>11</v>
      </c>
      <c r="E55" t="s">
        <v>19</v>
      </c>
      <c r="F55">
        <v>43233648</v>
      </c>
      <c r="G55">
        <v>23952486</v>
      </c>
      <c r="H55">
        <v>923178</v>
      </c>
      <c r="I55" s="30">
        <f>G55-H55</f>
        <v>23029308</v>
      </c>
      <c r="J55" s="144" t="s">
        <v>20</v>
      </c>
      <c r="K55">
        <v>842695</v>
      </c>
    </row>
    <row r="56">
      <c r="A56" s="27">
        <v>2012</v>
      </c>
      <c r="B56" s="28" t="s">
        <v>164</v>
      </c>
      <c r="C56" s="28" t="s">
        <v>12</v>
      </c>
      <c r="D56" s="28" t="s">
        <v>11</v>
      </c>
      <c r="E56" s="28" t="s">
        <v>19</v>
      </c>
      <c r="F56" s="28">
        <v>43233648</v>
      </c>
      <c r="G56" s="28">
        <v>23952486</v>
      </c>
      <c r="H56" s="28">
        <v>923178</v>
      </c>
      <c r="I56" s="32">
        <f>G56-H56</f>
        <v>23029308</v>
      </c>
      <c r="J56" s="146" t="s">
        <v>49</v>
      </c>
      <c r="K56" s="28">
        <v>29738</v>
      </c>
    </row>
    <row r="57">
      <c r="A57" s="22">
        <v>2012</v>
      </c>
      <c r="B57" s="23" t="s">
        <v>164</v>
      </c>
      <c r="C57" s="23" t="s">
        <v>165</v>
      </c>
      <c r="D57" s="23">
        <v>4301</v>
      </c>
      <c r="E57" s="23" t="s">
        <v>13</v>
      </c>
      <c r="F57" s="23">
        <v>95803</v>
      </c>
      <c r="G57" s="23">
        <v>63027</v>
      </c>
      <c r="H57" s="23">
        <v>871</v>
      </c>
      <c r="I57" s="31">
        <f>G57-H57</f>
        <v>62156</v>
      </c>
      <c r="J57" s="145" t="s">
        <v>23</v>
      </c>
      <c r="K57" s="23">
        <v>205</v>
      </c>
    </row>
    <row r="58">
      <c r="A58" s="25">
        <v>2012</v>
      </c>
      <c r="B58" t="s">
        <v>164</v>
      </c>
      <c r="C58" t="s">
        <v>165</v>
      </c>
      <c r="D58">
        <v>4301</v>
      </c>
      <c r="E58" t="s">
        <v>13</v>
      </c>
      <c r="F58">
        <v>95803</v>
      </c>
      <c r="G58">
        <v>63027</v>
      </c>
      <c r="H58">
        <v>871</v>
      </c>
      <c r="I58" s="30">
        <f>G58-H58</f>
        <v>62156</v>
      </c>
      <c r="J58" s="144" t="s">
        <v>45</v>
      </c>
      <c r="K58">
        <v>3895</v>
      </c>
    </row>
    <row r="59">
      <c r="A59" s="25">
        <v>2012</v>
      </c>
      <c r="B59" t="s">
        <v>164</v>
      </c>
      <c r="C59" t="s">
        <v>165</v>
      </c>
      <c r="D59">
        <v>4301</v>
      </c>
      <c r="E59" t="s">
        <v>13</v>
      </c>
      <c r="F59">
        <v>95803</v>
      </c>
      <c r="G59">
        <v>63027</v>
      </c>
      <c r="H59">
        <v>871</v>
      </c>
      <c r="I59" s="30">
        <f>G59-H59</f>
        <v>62156</v>
      </c>
      <c r="J59" s="144" t="s">
        <v>14</v>
      </c>
      <c r="K59">
        <v>262</v>
      </c>
    </row>
    <row r="60">
      <c r="A60" s="25">
        <v>2012</v>
      </c>
      <c r="B60" t="s">
        <v>164</v>
      </c>
      <c r="C60" t="s">
        <v>165</v>
      </c>
      <c r="D60">
        <v>4301</v>
      </c>
      <c r="E60" t="s">
        <v>13</v>
      </c>
      <c r="F60">
        <v>95803</v>
      </c>
      <c r="G60">
        <v>63027</v>
      </c>
      <c r="H60">
        <v>871</v>
      </c>
      <c r="I60" s="30">
        <f>G60-H60</f>
        <v>62156</v>
      </c>
      <c r="J60" s="144" t="s">
        <v>25</v>
      </c>
      <c r="K60">
        <v>542</v>
      </c>
    </row>
    <row r="61">
      <c r="A61" s="25">
        <v>2012</v>
      </c>
      <c r="B61" t="s">
        <v>164</v>
      </c>
      <c r="C61" t="s">
        <v>165</v>
      </c>
      <c r="D61">
        <v>4301</v>
      </c>
      <c r="E61" t="s">
        <v>13</v>
      </c>
      <c r="F61">
        <v>95803</v>
      </c>
      <c r="G61">
        <v>63027</v>
      </c>
      <c r="H61">
        <v>871</v>
      </c>
      <c r="I61" s="30">
        <f>G61-H61</f>
        <v>62156</v>
      </c>
      <c r="J61" s="144" t="s">
        <v>33</v>
      </c>
      <c r="K61">
        <v>14569</v>
      </c>
    </row>
    <row r="62">
      <c r="A62" s="25">
        <v>2012</v>
      </c>
      <c r="B62" t="s">
        <v>164</v>
      </c>
      <c r="C62" t="s">
        <v>165</v>
      </c>
      <c r="D62">
        <v>4301</v>
      </c>
      <c r="E62" t="s">
        <v>13</v>
      </c>
      <c r="F62">
        <v>95803</v>
      </c>
      <c r="G62">
        <v>63027</v>
      </c>
      <c r="H62">
        <v>871</v>
      </c>
      <c r="I62" s="30">
        <f>G62-H62</f>
        <v>62156</v>
      </c>
      <c r="J62" s="144" t="s">
        <v>14</v>
      </c>
      <c r="K62">
        <v>336</v>
      </c>
    </row>
    <row r="63">
      <c r="A63" s="25">
        <v>2012</v>
      </c>
      <c r="B63" t="s">
        <v>164</v>
      </c>
      <c r="C63" t="s">
        <v>165</v>
      </c>
      <c r="D63">
        <v>4301</v>
      </c>
      <c r="E63" t="s">
        <v>13</v>
      </c>
      <c r="F63">
        <v>95803</v>
      </c>
      <c r="G63">
        <v>63027</v>
      </c>
      <c r="H63">
        <v>871</v>
      </c>
      <c r="I63" s="30">
        <f>G63-H63</f>
        <v>62156</v>
      </c>
      <c r="J63" s="144" t="s">
        <v>24</v>
      </c>
      <c r="K63">
        <v>380</v>
      </c>
    </row>
    <row r="64">
      <c r="A64" s="25">
        <v>2012</v>
      </c>
      <c r="B64" t="s">
        <v>164</v>
      </c>
      <c r="C64" t="s">
        <v>165</v>
      </c>
      <c r="D64">
        <v>4301</v>
      </c>
      <c r="E64" t="s">
        <v>13</v>
      </c>
      <c r="F64">
        <v>95803</v>
      </c>
      <c r="G64">
        <v>63027</v>
      </c>
      <c r="H64">
        <v>871</v>
      </c>
      <c r="I64" s="30">
        <f>G64-H64</f>
        <v>62156</v>
      </c>
      <c r="J64" s="144" t="s">
        <v>20</v>
      </c>
      <c r="K64">
        <v>7257</v>
      </c>
    </row>
    <row r="65">
      <c r="A65" s="25">
        <v>2012</v>
      </c>
      <c r="B65" t="s">
        <v>164</v>
      </c>
      <c r="C65" t="s">
        <v>165</v>
      </c>
      <c r="D65">
        <v>4301</v>
      </c>
      <c r="E65" t="s">
        <v>13</v>
      </c>
      <c r="F65">
        <v>95803</v>
      </c>
      <c r="G65">
        <v>63027</v>
      </c>
      <c r="H65">
        <v>871</v>
      </c>
      <c r="I65" s="30">
        <f>G65-H65</f>
        <v>62156</v>
      </c>
      <c r="J65" s="144" t="s">
        <v>14</v>
      </c>
      <c r="K65">
        <v>274</v>
      </c>
    </row>
    <row r="66">
      <c r="A66" s="25">
        <v>2012</v>
      </c>
      <c r="B66" t="s">
        <v>164</v>
      </c>
      <c r="C66" t="s">
        <v>165</v>
      </c>
      <c r="D66">
        <v>4301</v>
      </c>
      <c r="E66" t="s">
        <v>13</v>
      </c>
      <c r="F66">
        <v>95803</v>
      </c>
      <c r="G66">
        <v>63027</v>
      </c>
      <c r="H66">
        <v>871</v>
      </c>
      <c r="I66" s="30">
        <f>G66-H66</f>
        <v>62156</v>
      </c>
      <c r="J66" s="144" t="s">
        <v>21</v>
      </c>
      <c r="K66">
        <v>30916</v>
      </c>
    </row>
    <row r="67">
      <c r="A67" s="25">
        <v>2012</v>
      </c>
      <c r="B67" t="s">
        <v>164</v>
      </c>
      <c r="C67" t="s">
        <v>165</v>
      </c>
      <c r="D67">
        <v>4301</v>
      </c>
      <c r="E67" t="s">
        <v>13</v>
      </c>
      <c r="F67">
        <v>95803</v>
      </c>
      <c r="G67">
        <v>63027</v>
      </c>
      <c r="H67">
        <v>871</v>
      </c>
      <c r="I67" s="30">
        <f>G67-H67</f>
        <v>62156</v>
      </c>
      <c r="J67" s="144" t="s">
        <v>22</v>
      </c>
      <c r="K67">
        <v>2943</v>
      </c>
    </row>
    <row r="68">
      <c r="A68" s="25">
        <v>2012</v>
      </c>
      <c r="B68" t="s">
        <v>164</v>
      </c>
      <c r="C68" t="s">
        <v>165</v>
      </c>
      <c r="D68">
        <v>4301</v>
      </c>
      <c r="E68" t="s">
        <v>13</v>
      </c>
      <c r="F68">
        <v>95803</v>
      </c>
      <c r="G68">
        <v>63027</v>
      </c>
      <c r="H68">
        <v>871</v>
      </c>
      <c r="I68" s="30">
        <f>G68-H68</f>
        <v>62156</v>
      </c>
      <c r="J68" s="144" t="s">
        <v>24</v>
      </c>
      <c r="K68">
        <v>280</v>
      </c>
    </row>
    <row r="69">
      <c r="A69" s="27">
        <v>2012</v>
      </c>
      <c r="B69" s="28" t="s">
        <v>164</v>
      </c>
      <c r="C69" s="28" t="s">
        <v>165</v>
      </c>
      <c r="D69" s="28">
        <v>4301</v>
      </c>
      <c r="E69" s="28" t="s">
        <v>13</v>
      </c>
      <c r="F69" s="28">
        <v>95803</v>
      </c>
      <c r="G69" s="28">
        <v>63027</v>
      </c>
      <c r="H69" s="28">
        <v>871</v>
      </c>
      <c r="I69" s="32">
        <f>G69-H69</f>
        <v>62156</v>
      </c>
      <c r="J69" s="146" t="s">
        <v>23</v>
      </c>
      <c r="K69" s="28">
        <v>297</v>
      </c>
    </row>
    <row r="70">
      <c r="A70" s="22">
        <v>2012</v>
      </c>
      <c r="B70" s="23" t="s">
        <v>164</v>
      </c>
      <c r="C70" s="23" t="s">
        <v>165</v>
      </c>
      <c r="D70" s="23">
        <v>4301</v>
      </c>
      <c r="E70" s="23" t="s">
        <v>19</v>
      </c>
      <c r="F70" s="23">
        <v>95799</v>
      </c>
      <c r="G70" s="23">
        <v>58892</v>
      </c>
      <c r="H70" s="23">
        <v>1579</v>
      </c>
      <c r="I70" s="31">
        <f>G70-H70</f>
        <v>57313</v>
      </c>
      <c r="J70" s="145" t="s">
        <v>33</v>
      </c>
      <c r="K70" s="23">
        <v>20662</v>
      </c>
    </row>
    <row r="71">
      <c r="A71" s="27">
        <v>2012</v>
      </c>
      <c r="B71" s="28" t="s">
        <v>164</v>
      </c>
      <c r="C71" s="28" t="s">
        <v>165</v>
      </c>
      <c r="D71" s="28">
        <v>4301</v>
      </c>
      <c r="E71" s="28" t="s">
        <v>19</v>
      </c>
      <c r="F71" s="28">
        <v>95799</v>
      </c>
      <c r="G71" s="28">
        <v>58892</v>
      </c>
      <c r="H71" s="28">
        <v>1579</v>
      </c>
      <c r="I71" s="32">
        <f>G71-H71</f>
        <v>57313</v>
      </c>
      <c r="J71" s="146" t="s">
        <v>21</v>
      </c>
      <c r="K71" s="28">
        <v>36651</v>
      </c>
    </row>
    <row r="72">
      <c r="A72" s="22">
        <v>2012</v>
      </c>
      <c r="B72" s="23" t="s">
        <v>164</v>
      </c>
      <c r="C72" s="23" t="s">
        <v>165</v>
      </c>
      <c r="D72" s="23">
        <v>4302</v>
      </c>
      <c r="E72" s="23" t="s">
        <v>13</v>
      </c>
      <c r="F72" s="23">
        <v>80304</v>
      </c>
      <c r="G72" s="23">
        <v>49279</v>
      </c>
      <c r="H72" s="23">
        <v>1231</v>
      </c>
      <c r="I72" s="31">
        <f>G72-H72</f>
        <v>48048</v>
      </c>
      <c r="J72" s="145" t="s">
        <v>14</v>
      </c>
      <c r="K72" s="23">
        <v>1799</v>
      </c>
    </row>
    <row r="73">
      <c r="A73" s="25">
        <v>2012</v>
      </c>
      <c r="B73" t="s">
        <v>164</v>
      </c>
      <c r="C73" t="s">
        <v>165</v>
      </c>
      <c r="D73">
        <v>4302</v>
      </c>
      <c r="E73" t="s">
        <v>13</v>
      </c>
      <c r="F73">
        <v>80304</v>
      </c>
      <c r="G73">
        <v>49279</v>
      </c>
      <c r="H73">
        <v>1231</v>
      </c>
      <c r="I73" s="30">
        <f>G73-H73</f>
        <v>48048</v>
      </c>
      <c r="J73" s="144" t="s">
        <v>21</v>
      </c>
      <c r="K73">
        <v>18351</v>
      </c>
    </row>
    <row r="74">
      <c r="A74" s="25">
        <v>2012</v>
      </c>
      <c r="B74" t="s">
        <v>164</v>
      </c>
      <c r="C74" t="s">
        <v>165</v>
      </c>
      <c r="D74">
        <v>4302</v>
      </c>
      <c r="E74" t="s">
        <v>13</v>
      </c>
      <c r="F74">
        <v>80304</v>
      </c>
      <c r="G74">
        <v>49279</v>
      </c>
      <c r="H74">
        <v>1231</v>
      </c>
      <c r="I74" s="30">
        <f>G74-H74</f>
        <v>48048</v>
      </c>
      <c r="J74" s="144" t="s">
        <v>22</v>
      </c>
      <c r="K74">
        <v>3332</v>
      </c>
    </row>
    <row r="75">
      <c r="A75" s="25">
        <v>2012</v>
      </c>
      <c r="B75" t="s">
        <v>164</v>
      </c>
      <c r="C75" t="s">
        <v>165</v>
      </c>
      <c r="D75">
        <v>4302</v>
      </c>
      <c r="E75" t="s">
        <v>13</v>
      </c>
      <c r="F75">
        <v>80304</v>
      </c>
      <c r="G75">
        <v>49279</v>
      </c>
      <c r="H75">
        <v>1231</v>
      </c>
      <c r="I75" s="30">
        <f>G75-H75</f>
        <v>48048</v>
      </c>
      <c r="J75" s="144" t="s">
        <v>24</v>
      </c>
      <c r="K75">
        <v>29</v>
      </c>
    </row>
    <row r="76">
      <c r="A76" s="25">
        <v>2012</v>
      </c>
      <c r="B76" t="s">
        <v>164</v>
      </c>
      <c r="C76" t="s">
        <v>165</v>
      </c>
      <c r="D76">
        <v>4302</v>
      </c>
      <c r="E76" t="s">
        <v>13</v>
      </c>
      <c r="F76">
        <v>80304</v>
      </c>
      <c r="G76">
        <v>49279</v>
      </c>
      <c r="H76">
        <v>1231</v>
      </c>
      <c r="I76" s="30">
        <f>G76-H76</f>
        <v>48048</v>
      </c>
      <c r="J76" s="144" t="s">
        <v>20</v>
      </c>
      <c r="K76">
        <v>4950</v>
      </c>
    </row>
    <row r="77">
      <c r="A77" s="25">
        <v>2012</v>
      </c>
      <c r="B77" t="s">
        <v>164</v>
      </c>
      <c r="C77" t="s">
        <v>165</v>
      </c>
      <c r="D77">
        <v>4302</v>
      </c>
      <c r="E77" t="s">
        <v>13</v>
      </c>
      <c r="F77">
        <v>80304</v>
      </c>
      <c r="G77">
        <v>49279</v>
      </c>
      <c r="H77">
        <v>1231</v>
      </c>
      <c r="I77" s="30">
        <f>G77-H77</f>
        <v>48048</v>
      </c>
      <c r="J77" s="144" t="s">
        <v>33</v>
      </c>
      <c r="K77">
        <v>17229</v>
      </c>
    </row>
    <row r="78">
      <c r="A78" s="25">
        <v>2012</v>
      </c>
      <c r="B78" t="s">
        <v>164</v>
      </c>
      <c r="C78" t="s">
        <v>165</v>
      </c>
      <c r="D78">
        <v>4302</v>
      </c>
      <c r="E78" t="s">
        <v>13</v>
      </c>
      <c r="F78">
        <v>80304</v>
      </c>
      <c r="G78">
        <v>49279</v>
      </c>
      <c r="H78">
        <v>1231</v>
      </c>
      <c r="I78" s="30">
        <f>G78-H78</f>
        <v>48048</v>
      </c>
      <c r="J78" s="144" t="s">
        <v>24</v>
      </c>
      <c r="K78">
        <v>1522</v>
      </c>
    </row>
    <row r="79">
      <c r="A79" s="25">
        <v>2012</v>
      </c>
      <c r="B79" t="s">
        <v>164</v>
      </c>
      <c r="C79" t="s">
        <v>165</v>
      </c>
      <c r="D79">
        <v>4302</v>
      </c>
      <c r="E79" t="s">
        <v>13</v>
      </c>
      <c r="F79">
        <v>80304</v>
      </c>
      <c r="G79">
        <v>49279</v>
      </c>
      <c r="H79">
        <v>1231</v>
      </c>
      <c r="I79" s="30">
        <f>G79-H79</f>
        <v>48048</v>
      </c>
      <c r="J79" s="144" t="s">
        <v>23</v>
      </c>
      <c r="K79">
        <v>322</v>
      </c>
    </row>
    <row r="80">
      <c r="A80" s="27">
        <v>2012</v>
      </c>
      <c r="B80" s="28" t="s">
        <v>164</v>
      </c>
      <c r="C80" s="28" t="s">
        <v>165</v>
      </c>
      <c r="D80" s="28">
        <v>4302</v>
      </c>
      <c r="E80" s="28" t="s">
        <v>13</v>
      </c>
      <c r="F80" s="28">
        <v>80304</v>
      </c>
      <c r="G80" s="28">
        <v>49279</v>
      </c>
      <c r="H80" s="28">
        <v>1231</v>
      </c>
      <c r="I80" s="32">
        <f>G80-H80</f>
        <v>48048</v>
      </c>
      <c r="J80" s="146" t="s">
        <v>14</v>
      </c>
      <c r="K80" s="28">
        <v>514</v>
      </c>
    </row>
    <row r="81">
      <c r="A81" s="22">
        <v>2012</v>
      </c>
      <c r="B81" s="23" t="s">
        <v>164</v>
      </c>
      <c r="C81" s="23" t="s">
        <v>165</v>
      </c>
      <c r="D81" s="23">
        <v>4302</v>
      </c>
      <c r="E81" s="23" t="s">
        <v>19</v>
      </c>
      <c r="F81" s="23">
        <v>80283</v>
      </c>
      <c r="G81" s="23">
        <v>49848</v>
      </c>
      <c r="H81" s="23">
        <v>1906</v>
      </c>
      <c r="I81" s="31">
        <f>G81-H81</f>
        <v>47942</v>
      </c>
      <c r="J81" s="145" t="s">
        <v>21</v>
      </c>
      <c r="K81" s="23">
        <v>24698</v>
      </c>
    </row>
    <row r="82">
      <c r="A82" s="27">
        <v>2012</v>
      </c>
      <c r="B82" s="28" t="s">
        <v>164</v>
      </c>
      <c r="C82" s="28" t="s">
        <v>165</v>
      </c>
      <c r="D82" s="28">
        <v>4302</v>
      </c>
      <c r="E82" s="28" t="s">
        <v>19</v>
      </c>
      <c r="F82" s="28">
        <v>80283</v>
      </c>
      <c r="G82" s="28">
        <v>49848</v>
      </c>
      <c r="H82" s="28">
        <v>1906</v>
      </c>
      <c r="I82" s="32">
        <f>G82-H82</f>
        <v>47942</v>
      </c>
      <c r="J82" s="146" t="s">
        <v>33</v>
      </c>
      <c r="K82" s="28">
        <v>23244</v>
      </c>
    </row>
    <row r="83">
      <c r="A83">
        <v>2014</v>
      </c>
      <c r="B83" t="s">
        <v>341</v>
      </c>
      <c r="C83" t="s">
        <v>12</v>
      </c>
      <c r="D83" t="s">
        <v>11</v>
      </c>
      <c r="E83" t="s">
        <v>13</v>
      </c>
      <c r="F83">
        <v>46544712</v>
      </c>
      <c r="G83">
        <v>19747893</v>
      </c>
      <c r="H83">
        <f>546+245531</f>
        <v>246077</v>
      </c>
      <c r="I83" s="30">
        <f>G83-H83</f>
        <v>19501816</v>
      </c>
      <c r="J83" s="144" t="s">
        <v>23</v>
      </c>
      <c r="K83">
        <v>302436</v>
      </c>
    </row>
    <row r="84">
      <c r="A84">
        <v>2014</v>
      </c>
      <c r="B84" t="s">
        <v>341</v>
      </c>
      <c r="C84" t="s">
        <v>12</v>
      </c>
      <c r="D84" t="s">
        <v>11</v>
      </c>
      <c r="E84" t="s">
        <v>13</v>
      </c>
      <c r="F84">
        <v>46544712</v>
      </c>
      <c r="G84">
        <v>19747893</v>
      </c>
      <c r="H84">
        <f>546+245531</f>
        <v>246077</v>
      </c>
      <c r="I84" s="30">
        <f>G84-H84</f>
        <v>19501816</v>
      </c>
      <c r="J84" s="144" t="s">
        <v>22</v>
      </c>
      <c r="K84">
        <v>1200713</v>
      </c>
    </row>
    <row r="85">
      <c r="A85">
        <v>2014</v>
      </c>
      <c r="B85" t="s">
        <v>341</v>
      </c>
      <c r="C85" t="s">
        <v>12</v>
      </c>
      <c r="D85" t="s">
        <v>11</v>
      </c>
      <c r="E85" t="s">
        <v>13</v>
      </c>
      <c r="F85">
        <v>46544712</v>
      </c>
      <c r="G85">
        <v>19747893</v>
      </c>
      <c r="H85">
        <f>546+245531</f>
        <v>246077</v>
      </c>
      <c r="I85" s="30">
        <f>G85-H85</f>
        <v>19501816</v>
      </c>
      <c r="J85" s="144" t="s">
        <v>352</v>
      </c>
      <c r="K85">
        <v>2650357</v>
      </c>
    </row>
    <row r="86">
      <c r="A86">
        <v>2014</v>
      </c>
      <c r="B86" t="s">
        <v>341</v>
      </c>
      <c r="C86" t="s">
        <v>12</v>
      </c>
      <c r="D86" t="s">
        <v>11</v>
      </c>
      <c r="E86" t="s">
        <v>13</v>
      </c>
      <c r="F86">
        <v>46544712</v>
      </c>
      <c r="G86">
        <v>19747893</v>
      </c>
      <c r="H86">
        <f>546+245531</f>
        <v>246077</v>
      </c>
      <c r="I86" s="30">
        <f>G86-H86</f>
        <v>19501816</v>
      </c>
      <c r="J86" s="144" t="s">
        <v>43</v>
      </c>
      <c r="K86">
        <v>602294</v>
      </c>
    </row>
    <row r="87">
      <c r="A87">
        <v>2014</v>
      </c>
      <c r="B87" t="s">
        <v>341</v>
      </c>
      <c r="C87" t="s">
        <v>12</v>
      </c>
      <c r="D87" t="s">
        <v>11</v>
      </c>
      <c r="E87" t="s">
        <v>13</v>
      </c>
      <c r="F87">
        <v>46544712</v>
      </c>
      <c r="G87">
        <v>19747893</v>
      </c>
      <c r="H87">
        <f>546+245531</f>
        <v>246077</v>
      </c>
      <c r="I87" s="30">
        <f>G87-H87</f>
        <v>19501816</v>
      </c>
      <c r="J87" s="144" t="s">
        <v>51</v>
      </c>
      <c r="K87">
        <v>1996442</v>
      </c>
    </row>
    <row r="88">
      <c r="A88">
        <v>2014</v>
      </c>
      <c r="B88" t="s">
        <v>341</v>
      </c>
      <c r="C88" t="s">
        <v>12</v>
      </c>
      <c r="D88" t="s">
        <v>11</v>
      </c>
      <c r="E88" t="s">
        <v>13</v>
      </c>
      <c r="F88">
        <v>46544712</v>
      </c>
      <c r="G88">
        <v>19747893</v>
      </c>
      <c r="H88">
        <f>546+245531</f>
        <v>246077</v>
      </c>
      <c r="I88" s="30">
        <f>G88-H88</f>
        <v>19501816</v>
      </c>
      <c r="J88" s="144" t="s">
        <v>35</v>
      </c>
      <c r="K88">
        <v>827526</v>
      </c>
    </row>
    <row r="89">
      <c r="A89">
        <v>2014</v>
      </c>
      <c r="B89" t="s">
        <v>341</v>
      </c>
      <c r="C89" t="s">
        <v>12</v>
      </c>
      <c r="D89" t="s">
        <v>11</v>
      </c>
      <c r="E89" t="s">
        <v>13</v>
      </c>
      <c r="F89">
        <v>46544712</v>
      </c>
      <c r="G89">
        <v>19747893</v>
      </c>
      <c r="H89">
        <f>546+245531</f>
        <v>246077</v>
      </c>
      <c r="I89" s="30">
        <f>G89-H89</f>
        <v>19501816</v>
      </c>
      <c r="J89" s="144" t="s">
        <v>47</v>
      </c>
      <c r="K89">
        <v>1884565</v>
      </c>
    </row>
    <row r="90">
      <c r="A90">
        <v>2014</v>
      </c>
      <c r="B90" t="s">
        <v>341</v>
      </c>
      <c r="C90" t="s">
        <v>12</v>
      </c>
      <c r="D90" t="s">
        <v>11</v>
      </c>
      <c r="E90" t="s">
        <v>13</v>
      </c>
      <c r="F90">
        <v>46544712</v>
      </c>
      <c r="G90">
        <v>19747893</v>
      </c>
      <c r="H90">
        <f>546+245531</f>
        <v>246077</v>
      </c>
      <c r="I90" s="30">
        <f>G90-H90</f>
        <v>19501816</v>
      </c>
      <c r="J90" s="144" t="s">
        <v>21</v>
      </c>
      <c r="K90">
        <v>3943819</v>
      </c>
    </row>
    <row r="91">
      <c r="A91">
        <v>2014</v>
      </c>
      <c r="B91" t="s">
        <v>341</v>
      </c>
      <c r="C91" t="s">
        <v>12</v>
      </c>
      <c r="D91" t="s">
        <v>11</v>
      </c>
      <c r="E91" t="s">
        <v>13</v>
      </c>
      <c r="F91">
        <v>46544712</v>
      </c>
      <c r="G91">
        <v>19747893</v>
      </c>
      <c r="H91">
        <f>546+245531</f>
        <v>246077</v>
      </c>
      <c r="I91" s="30">
        <f>G91-H91</f>
        <v>19501816</v>
      </c>
      <c r="J91" s="144" t="s">
        <v>26</v>
      </c>
      <c r="K91">
        <v>1133811</v>
      </c>
    </row>
    <row r="92">
      <c r="A92">
        <v>2014</v>
      </c>
      <c r="B92" t="s">
        <v>341</v>
      </c>
      <c r="C92" t="s">
        <v>12</v>
      </c>
      <c r="D92" t="s">
        <v>11</v>
      </c>
      <c r="E92" t="s">
        <v>13</v>
      </c>
      <c r="F92">
        <v>46544712</v>
      </c>
      <c r="G92">
        <v>19747893</v>
      </c>
      <c r="H92">
        <f>546+245531</f>
        <v>246077</v>
      </c>
      <c r="I92" s="30">
        <f>G92-H92</f>
        <v>19501816</v>
      </c>
      <c r="J92" s="144" t="s">
        <v>20</v>
      </c>
      <c r="K92">
        <v>4712461</v>
      </c>
    </row>
    <row r="93">
      <c r="A93">
        <v>2014</v>
      </c>
      <c r="B93" t="s">
        <v>341</v>
      </c>
      <c r="C93" t="s">
        <v>12</v>
      </c>
      <c r="D93" t="s">
        <v>11</v>
      </c>
      <c r="E93" t="s">
        <v>13</v>
      </c>
      <c r="F93">
        <v>46544712</v>
      </c>
      <c r="G93">
        <v>19747893</v>
      </c>
      <c r="H93">
        <f>546+245531</f>
        <v>246077</v>
      </c>
      <c r="I93" s="30">
        <f>G93-H93</f>
        <v>19501816</v>
      </c>
      <c r="J93" s="144" t="s">
        <v>49</v>
      </c>
      <c r="K93">
        <v>1137</v>
      </c>
    </row>
    <row r="94">
      <c r="A94">
        <v>2014</v>
      </c>
      <c r="B94" t="s">
        <v>341</v>
      </c>
      <c r="C94" t="s">
        <v>163</v>
      </c>
      <c r="D94">
        <v>43</v>
      </c>
      <c r="E94" t="s">
        <v>13</v>
      </c>
      <c r="F94">
        <v>177235</v>
      </c>
      <c r="G94">
        <v>79990</v>
      </c>
      <c r="H94">
        <f>3797+1382</f>
        <v>5179</v>
      </c>
      <c r="I94" s="30">
        <f>G94-H94</f>
        <v>74811</v>
      </c>
      <c r="J94" s="144" t="s">
        <v>23</v>
      </c>
      <c r="K94">
        <v>1</v>
      </c>
    </row>
    <row r="95">
      <c r="A95">
        <v>2014</v>
      </c>
      <c r="B95" t="s">
        <v>341</v>
      </c>
      <c r="C95" t="s">
        <v>163</v>
      </c>
      <c r="D95">
        <v>43</v>
      </c>
      <c r="E95" t="s">
        <v>13</v>
      </c>
      <c r="F95">
        <v>177235</v>
      </c>
      <c r="G95">
        <v>79990</v>
      </c>
      <c r="H95">
        <f>3797+1382</f>
        <v>5179</v>
      </c>
      <c r="I95" s="30">
        <f>G95-H95</f>
        <v>74811</v>
      </c>
      <c r="J95" s="144" t="s">
        <v>365</v>
      </c>
      <c r="K95">
        <v>7</v>
      </c>
    </row>
    <row r="96">
      <c r="A96">
        <v>2014</v>
      </c>
      <c r="B96" t="s">
        <v>341</v>
      </c>
      <c r="C96" t="s">
        <v>163</v>
      </c>
      <c r="D96">
        <v>43</v>
      </c>
      <c r="E96" t="s">
        <v>13</v>
      </c>
      <c r="F96">
        <v>177235</v>
      </c>
      <c r="G96">
        <v>79990</v>
      </c>
      <c r="H96">
        <f>3797+1382</f>
        <v>5179</v>
      </c>
      <c r="I96" s="30">
        <f>G96-H96</f>
        <v>74811</v>
      </c>
      <c r="J96" s="144" t="s">
        <v>365</v>
      </c>
      <c r="K96">
        <v>218</v>
      </c>
    </row>
    <row r="97">
      <c r="A97">
        <v>2014</v>
      </c>
      <c r="B97" t="s">
        <v>341</v>
      </c>
      <c r="C97" t="s">
        <v>163</v>
      </c>
      <c r="D97">
        <v>43</v>
      </c>
      <c r="E97" t="s">
        <v>13</v>
      </c>
      <c r="F97">
        <v>177235</v>
      </c>
      <c r="G97">
        <v>79990</v>
      </c>
      <c r="H97">
        <f>3797+1382</f>
        <v>5179</v>
      </c>
      <c r="I97" s="30">
        <f>G97-H97</f>
        <v>74811</v>
      </c>
      <c r="J97" s="144" t="s">
        <v>20</v>
      </c>
      <c r="K97">
        <v>18791</v>
      </c>
    </row>
    <row r="98">
      <c r="A98">
        <v>2014</v>
      </c>
      <c r="B98" t="s">
        <v>341</v>
      </c>
      <c r="C98" t="s">
        <v>163</v>
      </c>
      <c r="D98">
        <v>43</v>
      </c>
      <c r="E98" t="s">
        <v>13</v>
      </c>
      <c r="F98">
        <v>177235</v>
      </c>
      <c r="G98">
        <v>79990</v>
      </c>
      <c r="H98">
        <f>3797+1382</f>
        <v>5179</v>
      </c>
      <c r="I98" s="30">
        <f>G98-H98</f>
        <v>74811</v>
      </c>
      <c r="J98" s="144" t="s">
        <v>26</v>
      </c>
      <c r="K98">
        <v>702</v>
      </c>
    </row>
    <row r="99">
      <c r="A99">
        <v>2014</v>
      </c>
      <c r="B99" t="s">
        <v>341</v>
      </c>
      <c r="C99" t="s">
        <v>163</v>
      </c>
      <c r="D99">
        <v>43</v>
      </c>
      <c r="E99" t="s">
        <v>13</v>
      </c>
      <c r="F99">
        <v>177235</v>
      </c>
      <c r="G99">
        <v>79990</v>
      </c>
      <c r="H99">
        <f>3797+1382</f>
        <v>5179</v>
      </c>
      <c r="I99" s="30">
        <f>G99-H99</f>
        <v>74811</v>
      </c>
      <c r="J99" s="144" t="s">
        <v>21</v>
      </c>
      <c r="K99">
        <v>17737</v>
      </c>
    </row>
    <row r="100">
      <c r="A100">
        <v>2014</v>
      </c>
      <c r="B100" t="s">
        <v>341</v>
      </c>
      <c r="C100" t="s">
        <v>163</v>
      </c>
      <c r="D100">
        <v>43</v>
      </c>
      <c r="E100" t="s">
        <v>13</v>
      </c>
      <c r="F100">
        <v>177235</v>
      </c>
      <c r="G100">
        <v>79990</v>
      </c>
      <c r="H100">
        <f>3797+1382</f>
        <v>5179</v>
      </c>
      <c r="I100" s="30">
        <f>G100-H100</f>
        <v>74811</v>
      </c>
      <c r="J100" s="144" t="s">
        <v>365</v>
      </c>
      <c r="K100">
        <v>396</v>
      </c>
    </row>
    <row r="101">
      <c r="A101">
        <v>2014</v>
      </c>
      <c r="B101" t="s">
        <v>341</v>
      </c>
      <c r="C101" t="s">
        <v>163</v>
      </c>
      <c r="D101">
        <v>43</v>
      </c>
      <c r="E101" t="s">
        <v>13</v>
      </c>
      <c r="F101">
        <v>177235</v>
      </c>
      <c r="G101">
        <v>79990</v>
      </c>
      <c r="H101">
        <f>3797+1382</f>
        <v>5179</v>
      </c>
      <c r="I101" s="30">
        <f>G101-H101</f>
        <v>74811</v>
      </c>
      <c r="J101" s="144" t="s">
        <v>43</v>
      </c>
      <c r="K101">
        <v>2416</v>
      </c>
    </row>
    <row r="102">
      <c r="A102">
        <v>2014</v>
      </c>
      <c r="B102" t="s">
        <v>341</v>
      </c>
      <c r="C102" t="s">
        <v>163</v>
      </c>
      <c r="D102">
        <v>43</v>
      </c>
      <c r="E102" t="s">
        <v>13</v>
      </c>
      <c r="F102">
        <v>177235</v>
      </c>
      <c r="G102">
        <v>79990</v>
      </c>
      <c r="H102">
        <f>3797+1382</f>
        <v>5179</v>
      </c>
      <c r="I102" s="30">
        <f>G102-H102</f>
        <v>74811</v>
      </c>
      <c r="J102" s="144" t="s">
        <v>23</v>
      </c>
      <c r="K102">
        <v>0</v>
      </c>
    </row>
    <row r="103">
      <c r="A103">
        <v>2014</v>
      </c>
      <c r="B103" t="s">
        <v>341</v>
      </c>
      <c r="C103" t="s">
        <v>163</v>
      </c>
      <c r="D103">
        <v>43</v>
      </c>
      <c r="E103" t="s">
        <v>13</v>
      </c>
      <c r="F103">
        <v>177235</v>
      </c>
      <c r="G103">
        <v>79990</v>
      </c>
      <c r="H103">
        <f>3797+1382</f>
        <v>5179</v>
      </c>
      <c r="I103" s="30">
        <f>G103-H103</f>
        <v>74811</v>
      </c>
      <c r="J103" s="144" t="s">
        <v>352</v>
      </c>
      <c r="K103">
        <v>8861</v>
      </c>
    </row>
    <row r="104">
      <c r="A104">
        <v>2014</v>
      </c>
      <c r="B104" t="s">
        <v>341</v>
      </c>
      <c r="C104" t="s">
        <v>163</v>
      </c>
      <c r="D104">
        <v>43</v>
      </c>
      <c r="E104" t="s">
        <v>13</v>
      </c>
      <c r="F104">
        <v>177235</v>
      </c>
      <c r="G104">
        <v>79990</v>
      </c>
      <c r="H104">
        <f>3797+1382</f>
        <v>5179</v>
      </c>
      <c r="I104" s="30">
        <f>G104-H104</f>
        <v>74811</v>
      </c>
      <c r="J104" s="144" t="s">
        <v>365</v>
      </c>
      <c r="K104">
        <v>39</v>
      </c>
    </row>
    <row r="105">
      <c r="A105">
        <v>2014</v>
      </c>
      <c r="B105" t="s">
        <v>341</v>
      </c>
      <c r="C105" t="s">
        <v>163</v>
      </c>
      <c r="D105">
        <v>43</v>
      </c>
      <c r="E105" t="s">
        <v>13</v>
      </c>
      <c r="F105">
        <v>177235</v>
      </c>
      <c r="G105">
        <v>79990</v>
      </c>
      <c r="H105">
        <f>3797+1382</f>
        <v>5179</v>
      </c>
      <c r="I105" s="30">
        <f>G105-H105</f>
        <v>74811</v>
      </c>
      <c r="J105" s="144" t="s">
        <v>365</v>
      </c>
      <c r="K105">
        <v>17</v>
      </c>
    </row>
    <row r="106">
      <c r="A106">
        <v>2014</v>
      </c>
      <c r="B106" t="s">
        <v>341</v>
      </c>
      <c r="C106" t="s">
        <v>163</v>
      </c>
      <c r="D106">
        <v>43</v>
      </c>
      <c r="E106" t="s">
        <v>13</v>
      </c>
      <c r="F106">
        <v>177235</v>
      </c>
      <c r="G106">
        <v>79990</v>
      </c>
      <c r="H106">
        <f>3797+1382</f>
        <v>5179</v>
      </c>
      <c r="I106" s="30">
        <f>G106-H106</f>
        <v>74811</v>
      </c>
      <c r="J106" s="144" t="s">
        <v>365</v>
      </c>
      <c r="K106">
        <v>1941</v>
      </c>
    </row>
    <row r="107">
      <c r="A107">
        <v>2014</v>
      </c>
      <c r="B107" t="s">
        <v>341</v>
      </c>
      <c r="C107" t="s">
        <v>163</v>
      </c>
      <c r="D107">
        <v>43</v>
      </c>
      <c r="E107" t="s">
        <v>13</v>
      </c>
      <c r="F107">
        <v>177235</v>
      </c>
      <c r="G107">
        <v>79990</v>
      </c>
      <c r="H107">
        <f>3797+1382</f>
        <v>5179</v>
      </c>
      <c r="I107" s="30">
        <f>G107-H107</f>
        <v>74811</v>
      </c>
      <c r="J107" s="144" t="s">
        <v>23</v>
      </c>
      <c r="K107">
        <v>1051</v>
      </c>
    </row>
    <row r="108">
      <c r="A108">
        <v>2014</v>
      </c>
      <c r="B108" t="s">
        <v>341</v>
      </c>
      <c r="C108" t="s">
        <v>163</v>
      </c>
      <c r="D108">
        <v>43</v>
      </c>
      <c r="E108" t="s">
        <v>13</v>
      </c>
      <c r="F108">
        <v>177235</v>
      </c>
      <c r="G108">
        <v>79990</v>
      </c>
      <c r="H108">
        <f>3797+1382</f>
        <v>5179</v>
      </c>
      <c r="I108" s="30">
        <f>G108-H108</f>
        <v>74811</v>
      </c>
      <c r="J108" s="144" t="s">
        <v>26</v>
      </c>
      <c r="K108">
        <v>21</v>
      </c>
    </row>
    <row r="109">
      <c r="A109">
        <v>2014</v>
      </c>
      <c r="B109" t="s">
        <v>341</v>
      </c>
      <c r="C109" t="s">
        <v>163</v>
      </c>
      <c r="D109">
        <v>43</v>
      </c>
      <c r="E109" t="s">
        <v>13</v>
      </c>
      <c r="F109">
        <v>177235</v>
      </c>
      <c r="G109">
        <v>79990</v>
      </c>
      <c r="H109">
        <f>3797+1382</f>
        <v>5179</v>
      </c>
      <c r="I109" s="30">
        <f>G109-H109</f>
        <v>74811</v>
      </c>
      <c r="J109" s="144" t="s">
        <v>26</v>
      </c>
      <c r="K109">
        <v>0</v>
      </c>
    </row>
    <row r="110">
      <c r="A110">
        <v>2014</v>
      </c>
      <c r="B110" t="s">
        <v>341</v>
      </c>
      <c r="C110" t="s">
        <v>163</v>
      </c>
      <c r="D110">
        <v>43</v>
      </c>
      <c r="E110" t="s">
        <v>13</v>
      </c>
      <c r="F110">
        <v>177235</v>
      </c>
      <c r="G110">
        <v>79990</v>
      </c>
      <c r="H110">
        <f>3797+1382</f>
        <v>5179</v>
      </c>
      <c r="I110" s="30">
        <f>G110-H110</f>
        <v>74811</v>
      </c>
      <c r="J110" s="144" t="s">
        <v>365</v>
      </c>
      <c r="K110">
        <v>3</v>
      </c>
    </row>
    <row r="111">
      <c r="A111">
        <v>2014</v>
      </c>
      <c r="B111" t="s">
        <v>341</v>
      </c>
      <c r="C111" t="s">
        <v>163</v>
      </c>
      <c r="D111">
        <v>43</v>
      </c>
      <c r="E111" t="s">
        <v>13</v>
      </c>
      <c r="F111">
        <v>177235</v>
      </c>
      <c r="G111">
        <v>79990</v>
      </c>
      <c r="H111">
        <f>3797+1382</f>
        <v>5179</v>
      </c>
      <c r="I111" s="30">
        <f>G111-H111</f>
        <v>74811</v>
      </c>
      <c r="J111" s="144" t="s">
        <v>34</v>
      </c>
      <c r="K111">
        <v>3607</v>
      </c>
    </row>
    <row r="112">
      <c r="A112">
        <v>2014</v>
      </c>
      <c r="B112" t="s">
        <v>341</v>
      </c>
      <c r="C112" t="s">
        <v>163</v>
      </c>
      <c r="D112">
        <v>43</v>
      </c>
      <c r="E112" t="s">
        <v>13</v>
      </c>
      <c r="F112">
        <v>177235</v>
      </c>
      <c r="G112">
        <v>79990</v>
      </c>
      <c r="H112">
        <f>3797+1382</f>
        <v>5179</v>
      </c>
      <c r="I112" s="30">
        <f>G112-H112</f>
        <v>74811</v>
      </c>
      <c r="J112" s="144" t="s">
        <v>381</v>
      </c>
      <c r="K112">
        <v>4859</v>
      </c>
    </row>
    <row r="113">
      <c r="A113">
        <v>2014</v>
      </c>
      <c r="B113" t="s">
        <v>341</v>
      </c>
      <c r="C113" t="s">
        <v>163</v>
      </c>
      <c r="D113">
        <v>43</v>
      </c>
      <c r="E113" t="s">
        <v>13</v>
      </c>
      <c r="F113">
        <v>177235</v>
      </c>
      <c r="G113">
        <v>79990</v>
      </c>
      <c r="H113">
        <f>3797+1382</f>
        <v>5179</v>
      </c>
      <c r="I113" s="30">
        <f>G113-H113</f>
        <v>74811</v>
      </c>
      <c r="J113" s="144" t="s">
        <v>365</v>
      </c>
      <c r="K113">
        <v>266</v>
      </c>
    </row>
    <row r="114">
      <c r="A114">
        <v>2014</v>
      </c>
      <c r="B114" t="s">
        <v>341</v>
      </c>
      <c r="C114" t="s">
        <v>163</v>
      </c>
      <c r="D114">
        <v>43</v>
      </c>
      <c r="E114" t="s">
        <v>13</v>
      </c>
      <c r="F114">
        <v>177235</v>
      </c>
      <c r="G114">
        <v>79990</v>
      </c>
      <c r="H114">
        <f>3797+1382</f>
        <v>5179</v>
      </c>
      <c r="I114" s="30">
        <f>G114-H114</f>
        <v>74811</v>
      </c>
      <c r="J114" s="144" t="s">
        <v>365</v>
      </c>
      <c r="K114">
        <v>0</v>
      </c>
    </row>
    <row r="115">
      <c r="A115">
        <v>2014</v>
      </c>
      <c r="B115" t="s">
        <v>341</v>
      </c>
      <c r="C115" t="s">
        <v>163</v>
      </c>
      <c r="D115">
        <v>43</v>
      </c>
      <c r="E115" t="s">
        <v>13</v>
      </c>
      <c r="F115">
        <v>177235</v>
      </c>
      <c r="G115">
        <v>79990</v>
      </c>
      <c r="H115">
        <f>3797+1382</f>
        <v>5179</v>
      </c>
      <c r="I115" s="30">
        <f>G115-H115</f>
        <v>74811</v>
      </c>
      <c r="J115" s="144" t="s">
        <v>51</v>
      </c>
      <c r="K115">
        <v>5551</v>
      </c>
    </row>
    <row r="116">
      <c r="A116">
        <v>2014</v>
      </c>
      <c r="B116" t="s">
        <v>341</v>
      </c>
      <c r="C116" t="s">
        <v>163</v>
      </c>
      <c r="D116">
        <v>43</v>
      </c>
      <c r="E116" t="s">
        <v>13</v>
      </c>
      <c r="F116">
        <v>177235</v>
      </c>
      <c r="G116">
        <v>79990</v>
      </c>
      <c r="H116">
        <f>3797+1382</f>
        <v>5179</v>
      </c>
      <c r="I116" s="30">
        <f>G116-H116</f>
        <v>74811</v>
      </c>
      <c r="J116" s="144" t="s">
        <v>365</v>
      </c>
      <c r="K116">
        <v>58</v>
      </c>
    </row>
    <row r="117">
      <c r="A117">
        <v>2014</v>
      </c>
      <c r="B117" t="s">
        <v>341</v>
      </c>
      <c r="C117" t="s">
        <v>163</v>
      </c>
      <c r="D117">
        <v>43</v>
      </c>
      <c r="E117" t="s">
        <v>13</v>
      </c>
      <c r="F117">
        <v>177235</v>
      </c>
      <c r="G117">
        <v>79990</v>
      </c>
      <c r="H117">
        <f>3797+1382</f>
        <v>5179</v>
      </c>
      <c r="I117" s="30">
        <f>G117-H117</f>
        <v>74811</v>
      </c>
      <c r="J117" s="144" t="s">
        <v>365</v>
      </c>
      <c r="K117">
        <v>5</v>
      </c>
    </row>
    <row r="118">
      <c r="A118">
        <v>2014</v>
      </c>
      <c r="B118" t="s">
        <v>341</v>
      </c>
      <c r="C118" t="s">
        <v>163</v>
      </c>
      <c r="D118">
        <v>43</v>
      </c>
      <c r="E118" t="s">
        <v>13</v>
      </c>
      <c r="F118">
        <v>177235</v>
      </c>
      <c r="G118">
        <v>79990</v>
      </c>
      <c r="H118">
        <f>3797+1382</f>
        <v>5179</v>
      </c>
      <c r="I118" s="30">
        <f>G118-H118</f>
        <v>74811</v>
      </c>
      <c r="J118" s="144" t="s">
        <v>47</v>
      </c>
      <c r="K118">
        <v>7519</v>
      </c>
    </row>
    <row r="119">
      <c r="A119" s="22">
        <v>2017</v>
      </c>
      <c r="B119" s="23" t="s">
        <v>10</v>
      </c>
      <c r="C119" s="23" t="s">
        <v>12</v>
      </c>
      <c r="D119" s="23" t="s">
        <v>11</v>
      </c>
      <c r="E119" s="23" t="s">
        <v>13</v>
      </c>
      <c r="F119" s="23">
        <v>47582183</v>
      </c>
      <c r="G119" s="23">
        <v>37003728</v>
      </c>
      <c r="H119" s="23">
        <v>949334</v>
      </c>
      <c r="I119" s="31">
        <f>G119-H119</f>
        <v>36054394</v>
      </c>
      <c r="J119" s="145" t="s">
        <v>30</v>
      </c>
      <c r="K119" s="23">
        <v>8656346</v>
      </c>
    </row>
    <row r="120">
      <c r="A120" s="25">
        <v>2017</v>
      </c>
      <c r="B120" t="s">
        <v>10</v>
      </c>
      <c r="C120" t="s">
        <v>12</v>
      </c>
      <c r="D120" t="s">
        <v>11</v>
      </c>
      <c r="E120" t="s">
        <v>13</v>
      </c>
      <c r="F120">
        <v>47582183</v>
      </c>
      <c r="G120">
        <v>37003728</v>
      </c>
      <c r="H120">
        <v>949334</v>
      </c>
      <c r="I120" s="30">
        <f>G120-H120</f>
        <v>36054394</v>
      </c>
      <c r="J120" s="144" t="s">
        <v>20</v>
      </c>
      <c r="K120">
        <v>7678491</v>
      </c>
    </row>
    <row r="121">
      <c r="A121" s="25">
        <v>2017</v>
      </c>
      <c r="B121" t="s">
        <v>10</v>
      </c>
      <c r="C121" t="s">
        <v>12</v>
      </c>
      <c r="D121" t="s">
        <v>11</v>
      </c>
      <c r="E121" t="s">
        <v>13</v>
      </c>
      <c r="F121">
        <v>47582183</v>
      </c>
      <c r="G121">
        <v>37003728</v>
      </c>
      <c r="H121">
        <v>949334</v>
      </c>
      <c r="I121" s="30">
        <f>G121-H121</f>
        <v>36054394</v>
      </c>
      <c r="J121" s="144" t="s">
        <v>31</v>
      </c>
      <c r="K121">
        <v>7212995</v>
      </c>
    </row>
    <row r="122">
      <c r="A122" s="25">
        <v>2017</v>
      </c>
      <c r="B122" t="s">
        <v>10</v>
      </c>
      <c r="C122" t="s">
        <v>12</v>
      </c>
      <c r="D122" t="s">
        <v>11</v>
      </c>
      <c r="E122" t="s">
        <v>13</v>
      </c>
      <c r="F122">
        <v>47582183</v>
      </c>
      <c r="G122">
        <v>37003728</v>
      </c>
      <c r="H122">
        <v>949334</v>
      </c>
      <c r="I122" s="30">
        <f>G122-H122</f>
        <v>36054394</v>
      </c>
      <c r="J122" s="144" t="s">
        <v>22</v>
      </c>
      <c r="K122">
        <v>7059951</v>
      </c>
    </row>
    <row r="123">
      <c r="A123" s="25">
        <v>2017</v>
      </c>
      <c r="B123" t="s">
        <v>10</v>
      </c>
      <c r="C123" t="s">
        <v>12</v>
      </c>
      <c r="D123" t="s">
        <v>11</v>
      </c>
      <c r="E123" t="s">
        <v>13</v>
      </c>
      <c r="F123">
        <v>47582183</v>
      </c>
      <c r="G123">
        <v>37003728</v>
      </c>
      <c r="H123">
        <v>949334</v>
      </c>
      <c r="I123" s="30">
        <f>G123-H123</f>
        <v>36054394</v>
      </c>
      <c r="J123" s="144" t="s">
        <v>276</v>
      </c>
      <c r="K123">
        <v>2291288</v>
      </c>
    </row>
    <row r="124">
      <c r="A124" s="25">
        <v>2017</v>
      </c>
      <c r="B124" t="s">
        <v>10</v>
      </c>
      <c r="C124" t="s">
        <v>12</v>
      </c>
      <c r="D124" t="s">
        <v>11</v>
      </c>
      <c r="E124" t="s">
        <v>13</v>
      </c>
      <c r="F124">
        <v>47582183</v>
      </c>
      <c r="G124">
        <v>37003728</v>
      </c>
      <c r="H124">
        <v>949334</v>
      </c>
      <c r="I124" s="30">
        <f>G124-H124</f>
        <v>36054394</v>
      </c>
      <c r="J124" s="144" t="s">
        <v>34</v>
      </c>
      <c r="K124">
        <v>1695000</v>
      </c>
    </row>
    <row r="125">
      <c r="A125" s="25">
        <v>2017</v>
      </c>
      <c r="B125" t="s">
        <v>10</v>
      </c>
      <c r="C125" t="s">
        <v>12</v>
      </c>
      <c r="D125" t="s">
        <v>11</v>
      </c>
      <c r="E125" t="s">
        <v>13</v>
      </c>
      <c r="F125">
        <v>47582183</v>
      </c>
      <c r="G125">
        <v>37003728</v>
      </c>
      <c r="H125">
        <v>949334</v>
      </c>
      <c r="I125" s="30">
        <f>G125-H125</f>
        <v>36054394</v>
      </c>
      <c r="J125" s="144" t="s">
        <v>35</v>
      </c>
      <c r="K125">
        <v>435301</v>
      </c>
    </row>
    <row r="126">
      <c r="A126" s="25">
        <v>2017</v>
      </c>
      <c r="B126" t="s">
        <v>10</v>
      </c>
      <c r="C126" t="s">
        <v>12</v>
      </c>
      <c r="D126" t="s">
        <v>11</v>
      </c>
      <c r="E126" t="s">
        <v>13</v>
      </c>
      <c r="F126">
        <v>47582183</v>
      </c>
      <c r="G126">
        <v>37003728</v>
      </c>
      <c r="H126">
        <v>949334</v>
      </c>
      <c r="I126" s="30">
        <f>G126-H126</f>
        <v>36054394</v>
      </c>
      <c r="J126" s="144" t="s">
        <v>23</v>
      </c>
      <c r="K126">
        <v>394505</v>
      </c>
    </row>
    <row r="127">
      <c r="A127" s="25">
        <v>2017</v>
      </c>
      <c r="B127" t="s">
        <v>10</v>
      </c>
      <c r="C127" t="s">
        <v>12</v>
      </c>
      <c r="D127" t="s">
        <v>11</v>
      </c>
      <c r="E127" t="s">
        <v>13</v>
      </c>
      <c r="F127">
        <v>47582183</v>
      </c>
      <c r="G127">
        <v>37003728</v>
      </c>
      <c r="H127">
        <v>949334</v>
      </c>
      <c r="I127" s="30">
        <f>G127-H127</f>
        <v>36054394</v>
      </c>
      <c r="J127" s="144" t="s">
        <v>26</v>
      </c>
      <c r="K127">
        <v>332547</v>
      </c>
    </row>
    <row r="128">
      <c r="A128" s="25">
        <v>2017</v>
      </c>
      <c r="B128" t="s">
        <v>10</v>
      </c>
      <c r="C128" t="s">
        <v>12</v>
      </c>
      <c r="D128" t="s">
        <v>11</v>
      </c>
      <c r="E128" t="s">
        <v>13</v>
      </c>
      <c r="F128">
        <v>47582183</v>
      </c>
      <c r="G128">
        <v>37003728</v>
      </c>
      <c r="H128">
        <v>949334</v>
      </c>
      <c r="I128" s="30">
        <f>G128-H128</f>
        <v>36054394</v>
      </c>
      <c r="J128" s="144" t="s">
        <v>23</v>
      </c>
      <c r="K128">
        <v>232384</v>
      </c>
    </row>
    <row r="129">
      <c r="A129" s="27">
        <v>2017</v>
      </c>
      <c r="B129" s="28" t="s">
        <v>10</v>
      </c>
      <c r="C129" s="28" t="s">
        <v>12</v>
      </c>
      <c r="D129" s="28" t="s">
        <v>11</v>
      </c>
      <c r="E129" s="28" t="s">
        <v>13</v>
      </c>
      <c r="F129" s="28">
        <v>47582183</v>
      </c>
      <c r="G129" s="28">
        <v>37003728</v>
      </c>
      <c r="H129" s="28">
        <v>949334</v>
      </c>
      <c r="I129" s="32">
        <f>G129-H129</f>
        <v>36054394</v>
      </c>
      <c r="J129" s="146" t="s">
        <v>26</v>
      </c>
      <c r="K129" s="28">
        <v>65586</v>
      </c>
    </row>
    <row r="130">
      <c r="A130" s="22">
        <v>2017</v>
      </c>
      <c r="B130" s="23" t="s">
        <v>10</v>
      </c>
      <c r="C130" s="23" t="s">
        <v>12</v>
      </c>
      <c r="D130" s="23" t="s">
        <v>11</v>
      </c>
      <c r="E130" s="23" t="s">
        <v>19</v>
      </c>
      <c r="F130">
        <v>47568693</v>
      </c>
      <c r="G130">
        <v>35467327</v>
      </c>
      <c r="H130" s="23">
        <v>4085724</v>
      </c>
      <c r="I130" s="31">
        <f>G130-H130</f>
        <v>31381603</v>
      </c>
      <c r="J130" s="144" t="s">
        <v>30</v>
      </c>
      <c r="K130">
        <v>20743128</v>
      </c>
    </row>
    <row r="131">
      <c r="A131" s="27">
        <v>2017</v>
      </c>
      <c r="B131" s="28" t="s">
        <v>10</v>
      </c>
      <c r="C131" s="28" t="s">
        <v>12</v>
      </c>
      <c r="D131" s="28" t="s">
        <v>11</v>
      </c>
      <c r="E131" s="28" t="s">
        <v>19</v>
      </c>
      <c r="F131">
        <v>47568693</v>
      </c>
      <c r="G131">
        <v>35467327</v>
      </c>
      <c r="H131" s="28">
        <v>4085724</v>
      </c>
      <c r="I131" s="32">
        <f>G131-H131</f>
        <v>31381603</v>
      </c>
      <c r="J131" s="144" t="s">
        <v>20</v>
      </c>
      <c r="K131">
        <v>10638475</v>
      </c>
    </row>
    <row r="132">
      <c r="A132" s="22">
        <v>2017</v>
      </c>
      <c r="B132" s="23" t="s">
        <v>10</v>
      </c>
      <c r="C132" s="23" t="s">
        <v>163</v>
      </c>
      <c r="D132" s="23">
        <v>43</v>
      </c>
      <c r="E132" s="23" t="s">
        <v>13</v>
      </c>
      <c r="F132" s="23">
        <v>177158</v>
      </c>
      <c r="G132" s="23">
        <v>144283</v>
      </c>
      <c r="H132" s="23">
        <v>4706</v>
      </c>
      <c r="I132" s="31">
        <f>G132-H132</f>
        <v>139577</v>
      </c>
      <c r="J132" s="145" t="s">
        <v>30</v>
      </c>
      <c r="K132" s="23">
        <v>32821</v>
      </c>
    </row>
    <row r="133">
      <c r="A133" s="25">
        <v>2017</v>
      </c>
      <c r="B133" t="s">
        <v>10</v>
      </c>
      <c r="C133" t="s">
        <v>163</v>
      </c>
      <c r="D133">
        <v>43</v>
      </c>
      <c r="E133" t="s">
        <v>13</v>
      </c>
      <c r="F133">
        <v>177158</v>
      </c>
      <c r="G133">
        <v>144283</v>
      </c>
      <c r="H133">
        <v>4706</v>
      </c>
      <c r="I133" s="30">
        <f>G133-H133</f>
        <v>139577</v>
      </c>
      <c r="J133" s="144" t="s">
        <v>20</v>
      </c>
      <c r="K133">
        <v>32185</v>
      </c>
    </row>
    <row r="134">
      <c r="A134" s="25">
        <v>2017</v>
      </c>
      <c r="B134" t="s">
        <v>10</v>
      </c>
      <c r="C134" t="s">
        <v>163</v>
      </c>
      <c r="D134">
        <v>43</v>
      </c>
      <c r="E134" t="s">
        <v>13</v>
      </c>
      <c r="F134">
        <v>177158</v>
      </c>
      <c r="G134">
        <v>144283</v>
      </c>
      <c r="H134">
        <v>4706</v>
      </c>
      <c r="I134" s="30">
        <f>G134-H134</f>
        <v>139577</v>
      </c>
      <c r="J134" s="144" t="s">
        <v>31</v>
      </c>
      <c r="K134">
        <v>25956</v>
      </c>
    </row>
    <row r="135">
      <c r="A135" s="25">
        <v>2017</v>
      </c>
      <c r="B135" t="s">
        <v>10</v>
      </c>
      <c r="C135" t="s">
        <v>163</v>
      </c>
      <c r="D135">
        <v>43</v>
      </c>
      <c r="E135" t="s">
        <v>13</v>
      </c>
      <c r="F135">
        <v>177158</v>
      </c>
      <c r="G135">
        <v>144283</v>
      </c>
      <c r="H135">
        <v>4706</v>
      </c>
      <c r="I135" s="30">
        <f>G135-H135</f>
        <v>139577</v>
      </c>
      <c r="J135" s="144" t="s">
        <v>22</v>
      </c>
      <c r="K135">
        <v>25419</v>
      </c>
    </row>
    <row r="136">
      <c r="A136" s="25">
        <v>2017</v>
      </c>
      <c r="B136" t="s">
        <v>10</v>
      </c>
      <c r="C136" t="s">
        <v>163</v>
      </c>
      <c r="D136">
        <v>43</v>
      </c>
      <c r="E136" t="s">
        <v>13</v>
      </c>
      <c r="F136">
        <v>177158</v>
      </c>
      <c r="G136">
        <v>144283</v>
      </c>
      <c r="H136">
        <v>4706</v>
      </c>
      <c r="I136" s="30">
        <f>G136-H136</f>
        <v>139577</v>
      </c>
      <c r="J136" s="144" t="s">
        <v>34</v>
      </c>
      <c r="K136">
        <v>8346</v>
      </c>
    </row>
    <row r="137">
      <c r="A137" s="25">
        <v>2017</v>
      </c>
      <c r="B137" t="s">
        <v>10</v>
      </c>
      <c r="C137" t="s">
        <v>163</v>
      </c>
      <c r="D137">
        <v>43</v>
      </c>
      <c r="E137" t="s">
        <v>13</v>
      </c>
      <c r="F137">
        <v>177158</v>
      </c>
      <c r="G137">
        <v>144283</v>
      </c>
      <c r="H137">
        <v>4706</v>
      </c>
      <c r="I137" s="30">
        <f>G137-H137</f>
        <v>139577</v>
      </c>
      <c r="J137" s="144" t="s">
        <v>276</v>
      </c>
      <c r="K137">
        <v>7435</v>
      </c>
    </row>
    <row r="138">
      <c r="A138" s="25">
        <v>2017</v>
      </c>
      <c r="B138" t="s">
        <v>10</v>
      </c>
      <c r="C138" t="s">
        <v>163</v>
      </c>
      <c r="D138">
        <v>43</v>
      </c>
      <c r="E138" t="s">
        <v>13</v>
      </c>
      <c r="F138">
        <v>177158</v>
      </c>
      <c r="G138">
        <v>144283</v>
      </c>
      <c r="H138">
        <v>4706</v>
      </c>
      <c r="I138" s="30">
        <f>G138-H138</f>
        <v>139577</v>
      </c>
      <c r="J138" s="144" t="s">
        <v>35</v>
      </c>
      <c r="K138">
        <v>3112</v>
      </c>
    </row>
    <row r="139">
      <c r="A139" s="25">
        <v>2017</v>
      </c>
      <c r="B139" t="s">
        <v>10</v>
      </c>
      <c r="C139" t="s">
        <v>163</v>
      </c>
      <c r="D139">
        <v>43</v>
      </c>
      <c r="E139" t="s">
        <v>13</v>
      </c>
      <c r="F139">
        <v>177158</v>
      </c>
      <c r="G139">
        <v>144283</v>
      </c>
      <c r="H139">
        <v>4706</v>
      </c>
      <c r="I139" s="30">
        <f>G139-H139</f>
        <v>139577</v>
      </c>
      <c r="J139" s="144" t="s">
        <v>23</v>
      </c>
      <c r="K139">
        <v>1928</v>
      </c>
    </row>
    <row r="140">
      <c r="A140" s="25">
        <v>2017</v>
      </c>
      <c r="B140" t="s">
        <v>10</v>
      </c>
      <c r="C140" t="s">
        <v>163</v>
      </c>
      <c r="D140">
        <v>43</v>
      </c>
      <c r="E140" t="s">
        <v>13</v>
      </c>
      <c r="F140">
        <v>177158</v>
      </c>
      <c r="G140">
        <v>144283</v>
      </c>
      <c r="H140">
        <v>4706</v>
      </c>
      <c r="I140" s="30">
        <f>G140-H140</f>
        <v>139577</v>
      </c>
      <c r="J140" s="144" t="s">
        <v>26</v>
      </c>
      <c r="K140">
        <v>1050</v>
      </c>
    </row>
    <row r="141">
      <c r="A141" s="25">
        <v>2017</v>
      </c>
      <c r="B141" t="s">
        <v>10</v>
      </c>
      <c r="C141" t="s">
        <v>163</v>
      </c>
      <c r="D141">
        <v>43</v>
      </c>
      <c r="E141" t="s">
        <v>13</v>
      </c>
      <c r="F141">
        <v>177158</v>
      </c>
      <c r="G141">
        <v>144283</v>
      </c>
      <c r="H141">
        <v>4706</v>
      </c>
      <c r="I141" s="30">
        <f>G141-H141</f>
        <v>139577</v>
      </c>
      <c r="J141" s="144" t="s">
        <v>23</v>
      </c>
      <c r="K141">
        <v>1043</v>
      </c>
    </row>
    <row r="142">
      <c r="A142" s="27">
        <v>2017</v>
      </c>
      <c r="B142" s="28" t="s">
        <v>10</v>
      </c>
      <c r="C142" s="28" t="s">
        <v>163</v>
      </c>
      <c r="D142" s="28">
        <v>43</v>
      </c>
      <c r="E142" s="28" t="s">
        <v>13</v>
      </c>
      <c r="F142" s="28">
        <v>177158</v>
      </c>
      <c r="G142" s="28">
        <v>144283</v>
      </c>
      <c r="H142" s="28">
        <v>4706</v>
      </c>
      <c r="I142" s="32">
        <f>G142-H142</f>
        <v>139577</v>
      </c>
      <c r="J142" s="146" t="s">
        <v>26</v>
      </c>
      <c r="K142" s="28">
        <v>282</v>
      </c>
    </row>
    <row r="143">
      <c r="A143" s="22">
        <v>2017</v>
      </c>
      <c r="B143" s="23" t="s">
        <v>10</v>
      </c>
      <c r="C143" s="23" t="s">
        <v>163</v>
      </c>
      <c r="D143" s="23">
        <v>43</v>
      </c>
      <c r="E143" s="23" t="s">
        <v>19</v>
      </c>
      <c r="F143" s="23">
        <v>177116</v>
      </c>
      <c r="G143" s="23">
        <v>139475</v>
      </c>
      <c r="H143" s="23">
        <v>6130</v>
      </c>
      <c r="I143" s="31">
        <f>G143-H143</f>
        <v>133345</v>
      </c>
      <c r="J143" s="145" t="s">
        <v>30</v>
      </c>
      <c r="K143" s="23">
        <v>76233</v>
      </c>
    </row>
    <row r="144">
      <c r="A144" s="27">
        <v>2017</v>
      </c>
      <c r="B144" s="28" t="s">
        <v>10</v>
      </c>
      <c r="C144" s="28" t="s">
        <v>163</v>
      </c>
      <c r="D144" s="28">
        <v>43</v>
      </c>
      <c r="E144" s="28" t="s">
        <v>19</v>
      </c>
      <c r="F144" s="28">
        <v>177116</v>
      </c>
      <c r="G144" s="28">
        <v>139475</v>
      </c>
      <c r="H144" s="28">
        <v>6130</v>
      </c>
      <c r="I144" s="32">
        <f>G144-H144</f>
        <v>133345</v>
      </c>
      <c r="J144" s="146" t="s">
        <v>20</v>
      </c>
      <c r="K144" s="28">
        <v>44112</v>
      </c>
    </row>
    <row r="145">
      <c r="A145" s="22">
        <v>2017</v>
      </c>
      <c r="B145" s="23" t="s">
        <v>164</v>
      </c>
      <c r="C145" s="23" t="s">
        <v>12</v>
      </c>
      <c r="D145" s="23" t="s">
        <v>11</v>
      </c>
      <c r="E145" s="23" t="s">
        <v>13</v>
      </c>
      <c r="F145" s="23">
        <v>47570988</v>
      </c>
      <c r="G145" s="23">
        <v>23167508</v>
      </c>
      <c r="H145" s="23">
        <v>513344</v>
      </c>
      <c r="I145" s="31">
        <f>G145-H145</f>
        <v>22654164</v>
      </c>
      <c r="J145" s="145" t="s">
        <v>23</v>
      </c>
      <c r="K145" s="23">
        <v>175214</v>
      </c>
    </row>
    <row r="146">
      <c r="A146" s="25">
        <v>2017</v>
      </c>
      <c r="B146" t="s">
        <v>164</v>
      </c>
      <c r="C146" t="s">
        <v>12</v>
      </c>
      <c r="D146" t="s">
        <v>11</v>
      </c>
      <c r="E146" t="s">
        <v>13</v>
      </c>
      <c r="F146">
        <v>47570988</v>
      </c>
      <c r="G146">
        <v>23167508</v>
      </c>
      <c r="H146">
        <v>513344</v>
      </c>
      <c r="I146" s="30">
        <f>G146-H146</f>
        <v>22654164</v>
      </c>
      <c r="J146" s="144" t="s">
        <v>40</v>
      </c>
      <c r="K146">
        <v>615487</v>
      </c>
    </row>
    <row r="147">
      <c r="A147" s="25">
        <v>2017</v>
      </c>
      <c r="B147" t="s">
        <v>164</v>
      </c>
      <c r="C147" t="s">
        <v>12</v>
      </c>
      <c r="D147" t="s">
        <v>11</v>
      </c>
      <c r="E147" t="s">
        <v>13</v>
      </c>
      <c r="F147">
        <v>47570988</v>
      </c>
      <c r="G147">
        <v>23167508</v>
      </c>
      <c r="H147">
        <v>513344</v>
      </c>
      <c r="I147" s="30">
        <f>G147-H147</f>
        <v>22654164</v>
      </c>
      <c r="J147" s="144" t="s">
        <v>32</v>
      </c>
      <c r="K147">
        <v>2497622</v>
      </c>
    </row>
    <row r="148">
      <c r="A148" s="25">
        <v>2017</v>
      </c>
      <c r="B148" t="s">
        <v>164</v>
      </c>
      <c r="C148" t="s">
        <v>12</v>
      </c>
      <c r="D148" t="s">
        <v>11</v>
      </c>
      <c r="E148" t="s">
        <v>13</v>
      </c>
      <c r="F148">
        <v>47570988</v>
      </c>
      <c r="G148">
        <v>23167508</v>
      </c>
      <c r="H148">
        <v>513344</v>
      </c>
      <c r="I148" s="30">
        <f>G148-H148</f>
        <v>22654164</v>
      </c>
      <c r="J148" s="144" t="s">
        <v>33</v>
      </c>
      <c r="K148">
        <v>1685677</v>
      </c>
    </row>
    <row r="149">
      <c r="A149" s="25">
        <v>2017</v>
      </c>
      <c r="B149" t="s">
        <v>164</v>
      </c>
      <c r="C149" t="s">
        <v>12</v>
      </c>
      <c r="D149" t="s">
        <v>11</v>
      </c>
      <c r="E149" t="s">
        <v>13</v>
      </c>
      <c r="F149">
        <v>47570988</v>
      </c>
      <c r="G149">
        <v>23167508</v>
      </c>
      <c r="H149">
        <v>513344</v>
      </c>
      <c r="I149" s="30">
        <f>G149-H149</f>
        <v>22654164</v>
      </c>
      <c r="J149" s="144" t="s">
        <v>50</v>
      </c>
      <c r="K149">
        <v>106311</v>
      </c>
    </row>
    <row r="150">
      <c r="A150" s="25">
        <v>2017</v>
      </c>
      <c r="B150" t="s">
        <v>164</v>
      </c>
      <c r="C150" t="s">
        <v>12</v>
      </c>
      <c r="D150" t="s">
        <v>11</v>
      </c>
      <c r="E150" t="s">
        <v>13</v>
      </c>
      <c r="F150">
        <v>47570988</v>
      </c>
      <c r="G150">
        <v>23167508</v>
      </c>
      <c r="H150">
        <v>513344</v>
      </c>
      <c r="I150" s="30">
        <f>G150-H150</f>
        <v>22654164</v>
      </c>
      <c r="J150" s="144" t="s">
        <v>43</v>
      </c>
      <c r="K150">
        <v>362281</v>
      </c>
    </row>
    <row r="151">
      <c r="A151" s="25">
        <v>2017</v>
      </c>
      <c r="B151" t="s">
        <v>164</v>
      </c>
      <c r="C151" t="s">
        <v>12</v>
      </c>
      <c r="D151" t="s">
        <v>11</v>
      </c>
      <c r="E151" t="s">
        <v>13</v>
      </c>
      <c r="F151">
        <v>47570988</v>
      </c>
      <c r="G151">
        <v>23167508</v>
      </c>
      <c r="H151">
        <v>513344</v>
      </c>
      <c r="I151" s="30">
        <f>G151-H151</f>
        <v>22654164</v>
      </c>
      <c r="J151" s="144" t="s">
        <v>14</v>
      </c>
      <c r="K151">
        <v>973527</v>
      </c>
    </row>
    <row r="152">
      <c r="A152" s="25">
        <v>2017</v>
      </c>
      <c r="B152" t="s">
        <v>164</v>
      </c>
      <c r="C152" t="s">
        <v>12</v>
      </c>
      <c r="D152" t="s">
        <v>11</v>
      </c>
      <c r="E152" t="s">
        <v>13</v>
      </c>
      <c r="F152">
        <v>47570988</v>
      </c>
      <c r="G152">
        <v>23167508</v>
      </c>
      <c r="H152">
        <v>513344</v>
      </c>
      <c r="I152" s="30">
        <f>G152-H152</f>
        <v>22654164</v>
      </c>
      <c r="J152" s="144" t="s">
        <v>35</v>
      </c>
      <c r="K152">
        <v>500309</v>
      </c>
    </row>
    <row r="153">
      <c r="A153" s="25">
        <v>2017</v>
      </c>
      <c r="B153" t="s">
        <v>164</v>
      </c>
      <c r="C153" t="s">
        <v>12</v>
      </c>
      <c r="D153" t="s">
        <v>11</v>
      </c>
      <c r="E153" t="s">
        <v>13</v>
      </c>
      <c r="F153">
        <v>47570988</v>
      </c>
      <c r="G153">
        <v>23167508</v>
      </c>
      <c r="H153">
        <v>513344</v>
      </c>
      <c r="I153" s="30">
        <f>G153-H153</f>
        <v>22654164</v>
      </c>
      <c r="J153" s="144" t="s">
        <v>45</v>
      </c>
      <c r="K153">
        <v>204049</v>
      </c>
    </row>
    <row r="154">
      <c r="A154" s="25">
        <v>2017</v>
      </c>
      <c r="B154" t="s">
        <v>164</v>
      </c>
      <c r="C154" t="s">
        <v>12</v>
      </c>
      <c r="D154" t="s">
        <v>11</v>
      </c>
      <c r="E154" t="s">
        <v>13</v>
      </c>
      <c r="F154">
        <v>47570988</v>
      </c>
      <c r="G154">
        <v>23167508</v>
      </c>
      <c r="H154">
        <v>513344</v>
      </c>
      <c r="I154" s="30">
        <f>G154-H154</f>
        <v>22654164</v>
      </c>
      <c r="J154" s="144" t="s">
        <v>30</v>
      </c>
      <c r="K154">
        <v>6391269</v>
      </c>
    </row>
    <row r="155">
      <c r="A155" s="25">
        <v>2017</v>
      </c>
      <c r="B155" t="s">
        <v>164</v>
      </c>
      <c r="C155" t="s">
        <v>12</v>
      </c>
      <c r="D155" t="s">
        <v>11</v>
      </c>
      <c r="E155" t="s">
        <v>13</v>
      </c>
      <c r="F155">
        <v>47570988</v>
      </c>
      <c r="G155">
        <v>23167508</v>
      </c>
      <c r="H155">
        <v>513344</v>
      </c>
      <c r="I155" s="30">
        <f>G155-H155</f>
        <v>22654164</v>
      </c>
      <c r="J155" s="144" t="s">
        <v>95</v>
      </c>
      <c r="K155">
        <v>932227</v>
      </c>
    </row>
    <row r="156">
      <c r="A156" s="25">
        <v>2017</v>
      </c>
      <c r="B156" t="s">
        <v>164</v>
      </c>
      <c r="C156" t="s">
        <v>12</v>
      </c>
      <c r="D156" t="s">
        <v>11</v>
      </c>
      <c r="E156" t="s">
        <v>13</v>
      </c>
      <c r="F156">
        <v>47570988</v>
      </c>
      <c r="G156">
        <v>23167508</v>
      </c>
      <c r="H156">
        <v>513344</v>
      </c>
      <c r="I156" s="30">
        <f>G156-H156</f>
        <v>22654164</v>
      </c>
      <c r="J156" s="144" t="s">
        <v>47</v>
      </c>
      <c r="K156">
        <v>687225</v>
      </c>
    </row>
    <row r="157">
      <c r="A157" s="25">
        <v>2017</v>
      </c>
      <c r="B157" t="s">
        <v>164</v>
      </c>
      <c r="C157" t="s">
        <v>12</v>
      </c>
      <c r="D157" t="s">
        <v>11</v>
      </c>
      <c r="E157" t="s">
        <v>13</v>
      </c>
      <c r="F157">
        <v>47570988</v>
      </c>
      <c r="G157">
        <v>23167508</v>
      </c>
      <c r="H157">
        <v>513344</v>
      </c>
      <c r="I157" s="30">
        <f>G157-H157</f>
        <v>22654164</v>
      </c>
      <c r="J157" s="144" t="s">
        <v>31</v>
      </c>
      <c r="K157">
        <v>3573427</v>
      </c>
    </row>
    <row r="158">
      <c r="A158" s="25">
        <v>2017</v>
      </c>
      <c r="B158" t="s">
        <v>164</v>
      </c>
      <c r="C158" t="s">
        <v>12</v>
      </c>
      <c r="D158" t="s">
        <v>11</v>
      </c>
      <c r="E158" t="s">
        <v>13</v>
      </c>
      <c r="F158">
        <v>47570988</v>
      </c>
      <c r="G158">
        <v>23167508</v>
      </c>
      <c r="H158">
        <v>513344</v>
      </c>
      <c r="I158" s="30">
        <f>G158-H158</f>
        <v>22654164</v>
      </c>
      <c r="J158" s="144" t="s">
        <v>26</v>
      </c>
      <c r="K158">
        <v>625345</v>
      </c>
    </row>
    <row r="159">
      <c r="A159" s="25">
        <v>2017</v>
      </c>
      <c r="B159" t="s">
        <v>164</v>
      </c>
      <c r="C159" t="s">
        <v>12</v>
      </c>
      <c r="D159" t="s">
        <v>11</v>
      </c>
      <c r="E159" t="s">
        <v>13</v>
      </c>
      <c r="F159">
        <v>47570988</v>
      </c>
      <c r="G159">
        <v>23167508</v>
      </c>
      <c r="H159">
        <v>513344</v>
      </c>
      <c r="I159" s="30">
        <f>G159-H159</f>
        <v>22654164</v>
      </c>
      <c r="J159" s="144" t="s">
        <v>34</v>
      </c>
      <c r="K159">
        <v>265420</v>
      </c>
    </row>
    <row r="160">
      <c r="A160" s="25">
        <v>2017</v>
      </c>
      <c r="B160" t="s">
        <v>164</v>
      </c>
      <c r="C160" t="s">
        <v>12</v>
      </c>
      <c r="D160" t="s">
        <v>11</v>
      </c>
      <c r="E160" t="s">
        <v>13</v>
      </c>
      <c r="F160">
        <v>47570988</v>
      </c>
      <c r="G160">
        <v>23167508</v>
      </c>
      <c r="H160">
        <v>513344</v>
      </c>
      <c r="I160" s="30">
        <f>G160-H160</f>
        <v>22654164</v>
      </c>
      <c r="J160" s="144" t="s">
        <v>20</v>
      </c>
      <c r="K160">
        <v>2990454</v>
      </c>
    </row>
    <row r="161">
      <c r="A161" s="27">
        <v>2017</v>
      </c>
      <c r="B161" s="28" t="s">
        <v>164</v>
      </c>
      <c r="C161" s="28" t="s">
        <v>12</v>
      </c>
      <c r="D161" s="28" t="s">
        <v>11</v>
      </c>
      <c r="E161" s="28" t="s">
        <v>13</v>
      </c>
      <c r="F161" s="28">
        <v>47570988</v>
      </c>
      <c r="G161" s="28">
        <v>23167508</v>
      </c>
      <c r="H161" s="28">
        <v>513344</v>
      </c>
      <c r="I161" s="32">
        <f>G161-H161</f>
        <v>22654164</v>
      </c>
      <c r="J161" s="146" t="s">
        <v>49</v>
      </c>
      <c r="K161" s="28">
        <v>68320</v>
      </c>
    </row>
    <row r="162">
      <c r="A162" s="22">
        <v>2017</v>
      </c>
      <c r="B162" s="23" t="s">
        <v>164</v>
      </c>
      <c r="C162" s="23" t="s">
        <v>12</v>
      </c>
      <c r="D162" s="23" t="s">
        <v>11</v>
      </c>
      <c r="E162" s="23" t="s">
        <v>19</v>
      </c>
      <c r="F162" s="23">
        <v>47293103</v>
      </c>
      <c r="G162" s="23">
        <v>20164615</v>
      </c>
      <c r="H162" s="23">
        <v>1988549</v>
      </c>
      <c r="I162" s="31">
        <f>G162-H162</f>
        <v>18176066</v>
      </c>
      <c r="J162" s="145" t="s">
        <v>40</v>
      </c>
      <c r="K162" s="23">
        <v>217833</v>
      </c>
    </row>
    <row r="163">
      <c r="A163" s="25">
        <v>2017</v>
      </c>
      <c r="B163" t="s">
        <v>164</v>
      </c>
      <c r="C163" t="s">
        <v>12</v>
      </c>
      <c r="D163" t="s">
        <v>11</v>
      </c>
      <c r="E163" t="s">
        <v>19</v>
      </c>
      <c r="F163">
        <v>47293103</v>
      </c>
      <c r="G163">
        <v>20164615</v>
      </c>
      <c r="H163">
        <v>1988549</v>
      </c>
      <c r="I163" s="30">
        <f>G163-H163</f>
        <v>18176066</v>
      </c>
      <c r="J163" s="144" t="s">
        <v>32</v>
      </c>
      <c r="K163">
        <v>883573</v>
      </c>
    </row>
    <row r="164">
      <c r="A164" s="25">
        <v>2017</v>
      </c>
      <c r="B164" t="s">
        <v>164</v>
      </c>
      <c r="C164" t="s">
        <v>12</v>
      </c>
      <c r="D164" t="s">
        <v>11</v>
      </c>
      <c r="E164" t="s">
        <v>19</v>
      </c>
      <c r="F164">
        <v>47293103</v>
      </c>
      <c r="G164">
        <v>20164615</v>
      </c>
      <c r="H164">
        <v>1988549</v>
      </c>
      <c r="I164" s="30">
        <f>G164-H164</f>
        <v>18176066</v>
      </c>
      <c r="J164" s="144" t="s">
        <v>33</v>
      </c>
      <c r="K164">
        <v>1032842</v>
      </c>
    </row>
    <row r="165">
      <c r="A165" s="25">
        <v>2017</v>
      </c>
      <c r="B165" t="s">
        <v>164</v>
      </c>
      <c r="C165" t="s">
        <v>12</v>
      </c>
      <c r="D165" t="s">
        <v>11</v>
      </c>
      <c r="E165" t="s">
        <v>19</v>
      </c>
      <c r="F165">
        <v>47293103</v>
      </c>
      <c r="G165">
        <v>20164615</v>
      </c>
      <c r="H165">
        <v>1988549</v>
      </c>
      <c r="I165" s="30">
        <f>G165-H165</f>
        <v>18176066</v>
      </c>
      <c r="J165" s="144" t="s">
        <v>50</v>
      </c>
      <c r="K165">
        <v>64860</v>
      </c>
    </row>
    <row r="166">
      <c r="A166" s="25">
        <v>2017</v>
      </c>
      <c r="B166" t="s">
        <v>164</v>
      </c>
      <c r="C166" t="s">
        <v>12</v>
      </c>
      <c r="D166" t="s">
        <v>11</v>
      </c>
      <c r="E166" t="s">
        <v>19</v>
      </c>
      <c r="F166">
        <v>47293103</v>
      </c>
      <c r="G166">
        <v>20164615</v>
      </c>
      <c r="H166">
        <v>1988549</v>
      </c>
      <c r="I166" s="30">
        <f>G166-H166</f>
        <v>18176066</v>
      </c>
      <c r="J166" s="144" t="s">
        <v>43</v>
      </c>
      <c r="K166">
        <v>263488</v>
      </c>
    </row>
    <row r="167">
      <c r="A167" s="25">
        <v>2017</v>
      </c>
      <c r="B167" t="s">
        <v>164</v>
      </c>
      <c r="C167" t="s">
        <v>12</v>
      </c>
      <c r="D167" t="s">
        <v>11</v>
      </c>
      <c r="E167" t="s">
        <v>19</v>
      </c>
      <c r="F167">
        <v>47293103</v>
      </c>
      <c r="G167">
        <v>20164615</v>
      </c>
      <c r="H167">
        <v>1988549</v>
      </c>
      <c r="I167" s="30">
        <f>G167-H167</f>
        <v>18176066</v>
      </c>
      <c r="J167" s="144" t="s">
        <v>14</v>
      </c>
      <c r="K167">
        <v>23197</v>
      </c>
    </row>
    <row r="168">
      <c r="A168" s="25">
        <v>2017</v>
      </c>
      <c r="B168" t="s">
        <v>164</v>
      </c>
      <c r="C168" t="s">
        <v>12</v>
      </c>
      <c r="D168" t="s">
        <v>11</v>
      </c>
      <c r="E168" t="s">
        <v>19</v>
      </c>
      <c r="F168">
        <v>47293103</v>
      </c>
      <c r="G168">
        <v>20164615</v>
      </c>
      <c r="H168">
        <v>1988549</v>
      </c>
      <c r="I168" s="30">
        <f>G168-H168</f>
        <v>18176066</v>
      </c>
      <c r="J168" s="144" t="s">
        <v>35</v>
      </c>
      <c r="K168">
        <v>100574</v>
      </c>
    </row>
    <row r="169">
      <c r="A169" s="25">
        <v>2017</v>
      </c>
      <c r="B169" t="s">
        <v>164</v>
      </c>
      <c r="C169" t="s">
        <v>12</v>
      </c>
      <c r="D169" t="s">
        <v>11</v>
      </c>
      <c r="E169" t="s">
        <v>19</v>
      </c>
      <c r="F169">
        <v>47293103</v>
      </c>
      <c r="G169">
        <v>20164615</v>
      </c>
      <c r="H169">
        <v>1988549</v>
      </c>
      <c r="I169" s="30">
        <f>G169-H169</f>
        <v>18176066</v>
      </c>
      <c r="J169" s="144" t="s">
        <v>45</v>
      </c>
      <c r="K169">
        <v>137490</v>
      </c>
    </row>
    <row r="170">
      <c r="A170" s="25">
        <v>2017</v>
      </c>
      <c r="B170" t="s">
        <v>164</v>
      </c>
      <c r="C170" t="s">
        <v>12</v>
      </c>
      <c r="D170" t="s">
        <v>11</v>
      </c>
      <c r="E170" t="s">
        <v>19</v>
      </c>
      <c r="F170">
        <v>47293103</v>
      </c>
      <c r="G170">
        <v>20164615</v>
      </c>
      <c r="H170">
        <v>1988549</v>
      </c>
      <c r="I170" s="30">
        <f>G170-H170</f>
        <v>18176066</v>
      </c>
      <c r="J170" s="144" t="s">
        <v>30</v>
      </c>
      <c r="K170">
        <v>7826245</v>
      </c>
    </row>
    <row r="171">
      <c r="A171" s="25">
        <v>2017</v>
      </c>
      <c r="B171" t="s">
        <v>164</v>
      </c>
      <c r="C171" t="s">
        <v>12</v>
      </c>
      <c r="D171" t="s">
        <v>11</v>
      </c>
      <c r="E171" t="s">
        <v>19</v>
      </c>
      <c r="F171">
        <v>47293103</v>
      </c>
      <c r="G171">
        <v>20164615</v>
      </c>
      <c r="H171">
        <v>1988549</v>
      </c>
      <c r="I171" s="30">
        <f>G171-H171</f>
        <v>18176066</v>
      </c>
      <c r="J171" s="144" t="s">
        <v>95</v>
      </c>
      <c r="K171">
        <v>1100656</v>
      </c>
    </row>
    <row r="172">
      <c r="A172" s="25">
        <v>2017</v>
      </c>
      <c r="B172" t="s">
        <v>164</v>
      </c>
      <c r="C172" t="s">
        <v>12</v>
      </c>
      <c r="D172" t="s">
        <v>11</v>
      </c>
      <c r="E172" t="s">
        <v>19</v>
      </c>
      <c r="F172">
        <v>47293103</v>
      </c>
      <c r="G172">
        <v>20164615</v>
      </c>
      <c r="H172">
        <v>1988549</v>
      </c>
      <c r="I172" s="30">
        <f>G172-H172</f>
        <v>18176066</v>
      </c>
      <c r="J172" s="144" t="s">
        <v>47</v>
      </c>
      <c r="K172">
        <v>551784</v>
      </c>
    </row>
    <row r="173">
      <c r="A173" s="25">
        <v>2017</v>
      </c>
      <c r="B173" t="s">
        <v>164</v>
      </c>
      <c r="C173" t="s">
        <v>12</v>
      </c>
      <c r="D173" t="s">
        <v>11</v>
      </c>
      <c r="E173" t="s">
        <v>19</v>
      </c>
      <c r="F173">
        <v>47293103</v>
      </c>
      <c r="G173">
        <v>20164615</v>
      </c>
      <c r="H173">
        <v>1988549</v>
      </c>
      <c r="I173" s="30">
        <f>G173-H173</f>
        <v>18176066</v>
      </c>
      <c r="J173" s="144" t="s">
        <v>31</v>
      </c>
      <c r="K173">
        <v>4040203</v>
      </c>
    </row>
    <row r="174">
      <c r="A174" s="25">
        <v>2017</v>
      </c>
      <c r="B174" t="s">
        <v>164</v>
      </c>
      <c r="C174" t="s">
        <v>12</v>
      </c>
      <c r="D174" t="s">
        <v>11</v>
      </c>
      <c r="E174" t="s">
        <v>19</v>
      </c>
      <c r="F174">
        <v>47293103</v>
      </c>
      <c r="G174">
        <v>20164615</v>
      </c>
      <c r="H174">
        <v>1988549</v>
      </c>
      <c r="I174" s="30">
        <f>G174-H174</f>
        <v>18176066</v>
      </c>
      <c r="J174" s="144" t="s">
        <v>26</v>
      </c>
      <c r="K174">
        <v>306074</v>
      </c>
    </row>
    <row r="175">
      <c r="A175" s="25">
        <v>2017</v>
      </c>
      <c r="B175" t="s">
        <v>164</v>
      </c>
      <c r="C175" t="s">
        <v>12</v>
      </c>
      <c r="D175" t="s">
        <v>11</v>
      </c>
      <c r="E175" t="s">
        <v>19</v>
      </c>
      <c r="F175">
        <v>47293103</v>
      </c>
      <c r="G175">
        <v>20164615</v>
      </c>
      <c r="H175">
        <v>1988549</v>
      </c>
      <c r="I175" s="30">
        <f>G175-H175</f>
        <v>18176066</v>
      </c>
      <c r="J175" s="144" t="s">
        <v>34</v>
      </c>
      <c r="K175">
        <v>17344</v>
      </c>
    </row>
    <row r="176">
      <c r="A176" s="25">
        <v>2017</v>
      </c>
      <c r="B176" t="s">
        <v>164</v>
      </c>
      <c r="C176" t="s">
        <v>12</v>
      </c>
      <c r="D176" t="s">
        <v>11</v>
      </c>
      <c r="E176" t="s">
        <v>19</v>
      </c>
      <c r="F176">
        <v>47293103</v>
      </c>
      <c r="G176">
        <v>20164615</v>
      </c>
      <c r="H176">
        <v>1988549</v>
      </c>
      <c r="I176" s="30">
        <f>G176-H176</f>
        <v>18176066</v>
      </c>
      <c r="J176" s="144" t="s">
        <v>20</v>
      </c>
      <c r="K176">
        <v>1590869</v>
      </c>
    </row>
    <row r="177">
      <c r="A177" s="27">
        <v>2017</v>
      </c>
      <c r="B177" s="28" t="s">
        <v>164</v>
      </c>
      <c r="C177" s="28" t="s">
        <v>12</v>
      </c>
      <c r="D177" s="28" t="s">
        <v>11</v>
      </c>
      <c r="E177" s="28" t="s">
        <v>19</v>
      </c>
      <c r="F177" s="28">
        <v>47293103</v>
      </c>
      <c r="G177" s="28">
        <v>20164615</v>
      </c>
      <c r="H177" s="28">
        <v>1988549</v>
      </c>
      <c r="I177" s="32">
        <f>G177-H177</f>
        <v>18176066</v>
      </c>
      <c r="J177" s="146" t="s">
        <v>49</v>
      </c>
      <c r="K177" s="28">
        <v>19034</v>
      </c>
    </row>
    <row r="178">
      <c r="A178" s="22">
        <v>2017</v>
      </c>
      <c r="B178" s="23" t="s">
        <v>164</v>
      </c>
      <c r="C178" s="23" t="s">
        <v>165</v>
      </c>
      <c r="D178" s="23">
        <v>4301</v>
      </c>
      <c r="E178" s="23" t="s">
        <v>13</v>
      </c>
      <c r="F178" s="23">
        <v>97787</v>
      </c>
      <c r="G178" s="23">
        <v>53752</v>
      </c>
      <c r="H178" s="23">
        <v>895</v>
      </c>
      <c r="I178" s="31">
        <f>G178-H178</f>
        <v>52857</v>
      </c>
      <c r="J178" s="145" t="s">
        <v>31</v>
      </c>
      <c r="K178" s="23">
        <v>21615</v>
      </c>
    </row>
    <row r="179">
      <c r="A179" s="25">
        <v>2017</v>
      </c>
      <c r="B179" t="s">
        <v>164</v>
      </c>
      <c r="C179" t="s">
        <v>165</v>
      </c>
      <c r="D179">
        <v>4301</v>
      </c>
      <c r="E179" t="s">
        <v>13</v>
      </c>
      <c r="F179">
        <v>97787</v>
      </c>
      <c r="G179">
        <v>53752</v>
      </c>
      <c r="H179">
        <v>895</v>
      </c>
      <c r="I179" s="30">
        <f>G179-H179</f>
        <v>52857</v>
      </c>
      <c r="J179" s="144" t="s">
        <v>30</v>
      </c>
      <c r="K179">
        <v>16423</v>
      </c>
    </row>
    <row r="180">
      <c r="A180" s="25">
        <v>2017</v>
      </c>
      <c r="B180" t="s">
        <v>164</v>
      </c>
      <c r="C180" t="s">
        <v>165</v>
      </c>
      <c r="D180">
        <v>4301</v>
      </c>
      <c r="E180" t="s">
        <v>13</v>
      </c>
      <c r="F180">
        <v>97787</v>
      </c>
      <c r="G180">
        <v>53752</v>
      </c>
      <c r="H180">
        <v>895</v>
      </c>
      <c r="I180" s="30">
        <f>G180-H180</f>
        <v>52857</v>
      </c>
      <c r="J180" s="144" t="s">
        <v>20</v>
      </c>
      <c r="K180">
        <v>4974</v>
      </c>
    </row>
    <row r="181">
      <c r="A181" s="25">
        <v>2017</v>
      </c>
      <c r="B181" t="s">
        <v>164</v>
      </c>
      <c r="C181" t="s">
        <v>165</v>
      </c>
      <c r="D181">
        <v>4301</v>
      </c>
      <c r="E181" t="s">
        <v>13</v>
      </c>
      <c r="F181">
        <v>97787</v>
      </c>
      <c r="G181">
        <v>53752</v>
      </c>
      <c r="H181">
        <v>895</v>
      </c>
      <c r="I181" s="30">
        <f>G181-H181</f>
        <v>52857</v>
      </c>
      <c r="J181" s="144" t="s">
        <v>32</v>
      </c>
      <c r="K181">
        <v>4721</v>
      </c>
    </row>
    <row r="182">
      <c r="A182" s="25">
        <v>2017</v>
      </c>
      <c r="B182" t="s">
        <v>164</v>
      </c>
      <c r="C182" t="s">
        <v>165</v>
      </c>
      <c r="D182">
        <v>4301</v>
      </c>
      <c r="E182" t="s">
        <v>13</v>
      </c>
      <c r="F182">
        <v>97787</v>
      </c>
      <c r="G182">
        <v>53752</v>
      </c>
      <c r="H182">
        <v>895</v>
      </c>
      <c r="I182" s="30">
        <f>G182-H182</f>
        <v>52857</v>
      </c>
      <c r="J182" s="144" t="s">
        <v>33</v>
      </c>
      <c r="K182">
        <v>1453</v>
      </c>
    </row>
    <row r="183">
      <c r="A183" s="25">
        <v>2017</v>
      </c>
      <c r="B183" t="s">
        <v>164</v>
      </c>
      <c r="C183" t="s">
        <v>165</v>
      </c>
      <c r="D183">
        <v>4301</v>
      </c>
      <c r="E183" t="s">
        <v>13</v>
      </c>
      <c r="F183">
        <v>97787</v>
      </c>
      <c r="G183">
        <v>53752</v>
      </c>
      <c r="H183">
        <v>895</v>
      </c>
      <c r="I183" s="30">
        <f>G183-H183</f>
        <v>52857</v>
      </c>
      <c r="J183" s="144" t="s">
        <v>14</v>
      </c>
      <c r="K183">
        <v>1402</v>
      </c>
    </row>
    <row r="184">
      <c r="A184" s="25">
        <v>2017</v>
      </c>
      <c r="B184" t="s">
        <v>164</v>
      </c>
      <c r="C184" t="s">
        <v>165</v>
      </c>
      <c r="D184">
        <v>4301</v>
      </c>
      <c r="E184" t="s">
        <v>13</v>
      </c>
      <c r="F184">
        <v>97787</v>
      </c>
      <c r="G184">
        <v>53752</v>
      </c>
      <c r="H184">
        <v>895</v>
      </c>
      <c r="I184" s="30">
        <f>G184-H184</f>
        <v>52857</v>
      </c>
      <c r="J184" s="144" t="s">
        <v>43</v>
      </c>
      <c r="K184">
        <v>940</v>
      </c>
    </row>
    <row r="185">
      <c r="A185" s="25">
        <v>2017</v>
      </c>
      <c r="B185" t="s">
        <v>164</v>
      </c>
      <c r="C185" t="s">
        <v>165</v>
      </c>
      <c r="D185">
        <v>4301</v>
      </c>
      <c r="E185" t="s">
        <v>13</v>
      </c>
      <c r="F185">
        <v>97787</v>
      </c>
      <c r="G185">
        <v>53752</v>
      </c>
      <c r="H185">
        <v>895</v>
      </c>
      <c r="I185" s="30">
        <f>G185-H185</f>
        <v>52857</v>
      </c>
      <c r="J185" s="144" t="s">
        <v>14</v>
      </c>
      <c r="K185">
        <v>471</v>
      </c>
    </row>
    <row r="186">
      <c r="A186" s="25">
        <v>2017</v>
      </c>
      <c r="B186" t="s">
        <v>164</v>
      </c>
      <c r="C186" t="s">
        <v>165</v>
      </c>
      <c r="D186">
        <v>4301</v>
      </c>
      <c r="E186" t="s">
        <v>13</v>
      </c>
      <c r="F186">
        <v>97787</v>
      </c>
      <c r="G186">
        <v>53752</v>
      </c>
      <c r="H186">
        <v>895</v>
      </c>
      <c r="I186" s="30">
        <f>G186-H186</f>
        <v>52857</v>
      </c>
      <c r="J186" s="144" t="s">
        <v>34</v>
      </c>
      <c r="K186">
        <v>421</v>
      </c>
    </row>
    <row r="187">
      <c r="A187" s="25">
        <v>2017</v>
      </c>
      <c r="B187" t="s">
        <v>164</v>
      </c>
      <c r="C187" t="s">
        <v>165</v>
      </c>
      <c r="D187">
        <v>4301</v>
      </c>
      <c r="E187" t="s">
        <v>13</v>
      </c>
      <c r="F187">
        <v>97787</v>
      </c>
      <c r="G187">
        <v>53752</v>
      </c>
      <c r="H187">
        <v>895</v>
      </c>
      <c r="I187" s="30">
        <f>G187-H187</f>
        <v>52857</v>
      </c>
      <c r="J187" s="144" t="s">
        <v>23</v>
      </c>
      <c r="K187">
        <v>259</v>
      </c>
    </row>
    <row r="188">
      <c r="A188" s="25">
        <v>2017</v>
      </c>
      <c r="B188" t="s">
        <v>164</v>
      </c>
      <c r="C188" t="s">
        <v>165</v>
      </c>
      <c r="D188">
        <v>4301</v>
      </c>
      <c r="E188" t="s">
        <v>13</v>
      </c>
      <c r="F188">
        <v>97787</v>
      </c>
      <c r="G188">
        <v>53752</v>
      </c>
      <c r="H188">
        <v>895</v>
      </c>
      <c r="I188" s="30">
        <f>G188-H188</f>
        <v>52857</v>
      </c>
      <c r="J188" s="144" t="s">
        <v>35</v>
      </c>
      <c r="K188">
        <v>178</v>
      </c>
    </row>
    <row r="189">
      <c r="A189" s="27">
        <v>2017</v>
      </c>
      <c r="B189" s="28" t="s">
        <v>164</v>
      </c>
      <c r="C189" t="s">
        <v>165</v>
      </c>
      <c r="D189" s="28">
        <v>4301</v>
      </c>
      <c r="E189" s="28" t="s">
        <v>13</v>
      </c>
      <c r="F189" s="28">
        <v>97787</v>
      </c>
      <c r="G189" s="28">
        <v>53752</v>
      </c>
      <c r="H189" s="28">
        <v>895</v>
      </c>
      <c r="I189" s="32">
        <f>G189-H189</f>
        <v>52857</v>
      </c>
      <c r="J189" s="146" t="s">
        <v>35</v>
      </c>
      <c r="K189" s="28">
        <v>0</v>
      </c>
    </row>
    <row r="190">
      <c r="A190" s="22">
        <v>2017</v>
      </c>
      <c r="B190" s="23" t="s">
        <v>164</v>
      </c>
      <c r="C190" s="23" t="s">
        <v>165</v>
      </c>
      <c r="D190" s="23">
        <v>4301</v>
      </c>
      <c r="E190" s="23" t="s">
        <v>19</v>
      </c>
      <c r="F190" s="23">
        <v>97790</v>
      </c>
      <c r="G190" s="23">
        <v>48657</v>
      </c>
      <c r="H190" s="23">
        <v>3180</v>
      </c>
      <c r="I190" s="31">
        <f>G190-H190</f>
        <v>45477</v>
      </c>
      <c r="J190" s="145" t="s">
        <v>31</v>
      </c>
      <c r="K190" s="23">
        <v>26705</v>
      </c>
    </row>
    <row r="191">
      <c r="A191" s="27">
        <v>2017</v>
      </c>
      <c r="B191" s="28" t="s">
        <v>164</v>
      </c>
      <c r="C191" s="28" t="s">
        <v>165</v>
      </c>
      <c r="D191" s="28">
        <v>4301</v>
      </c>
      <c r="E191" s="28" t="s">
        <v>19</v>
      </c>
      <c r="F191" s="28">
        <v>97790</v>
      </c>
      <c r="G191" s="28">
        <v>48657</v>
      </c>
      <c r="H191" s="28">
        <v>3180</v>
      </c>
      <c r="I191" s="32">
        <f>G191-H191</f>
        <v>45477</v>
      </c>
      <c r="J191" s="146" t="s">
        <v>30</v>
      </c>
      <c r="K191" s="28">
        <v>18772</v>
      </c>
    </row>
    <row r="192">
      <c r="A192" s="22">
        <v>2017</v>
      </c>
      <c r="B192" s="23" t="s">
        <v>164</v>
      </c>
      <c r="C192" s="23" t="s">
        <v>165</v>
      </c>
      <c r="D192" s="23">
        <v>4302</v>
      </c>
      <c r="E192" s="23" t="s">
        <v>13</v>
      </c>
      <c r="F192" s="23">
        <v>79463</v>
      </c>
      <c r="G192" s="23">
        <v>42408</v>
      </c>
      <c r="H192" s="23">
        <v>947</v>
      </c>
      <c r="I192" s="31">
        <f>G192-H192</f>
        <v>41461</v>
      </c>
      <c r="J192" s="145" t="s">
        <v>31</v>
      </c>
      <c r="K192" s="23">
        <v>16958</v>
      </c>
    </row>
    <row r="193">
      <c r="A193" s="25">
        <v>2017</v>
      </c>
      <c r="B193" t="s">
        <v>164</v>
      </c>
      <c r="C193" t="s">
        <v>165</v>
      </c>
      <c r="D193">
        <v>4302</v>
      </c>
      <c r="E193" t="s">
        <v>13</v>
      </c>
      <c r="F193">
        <v>79463</v>
      </c>
      <c r="G193">
        <v>42408</v>
      </c>
      <c r="H193">
        <v>947</v>
      </c>
      <c r="I193" s="30">
        <f>G193-H193</f>
        <v>41461</v>
      </c>
      <c r="J193" s="144" t="s">
        <v>30</v>
      </c>
      <c r="K193">
        <v>11382</v>
      </c>
    </row>
    <row r="194">
      <c r="A194" s="25">
        <v>2017</v>
      </c>
      <c r="B194" t="s">
        <v>164</v>
      </c>
      <c r="C194" t="s">
        <v>165</v>
      </c>
      <c r="D194">
        <v>4302</v>
      </c>
      <c r="E194" t="s">
        <v>13</v>
      </c>
      <c r="F194">
        <v>79463</v>
      </c>
      <c r="G194">
        <v>42408</v>
      </c>
      <c r="H194">
        <v>947</v>
      </c>
      <c r="I194" s="30">
        <f>G194-H194</f>
        <v>41461</v>
      </c>
      <c r="J194" s="144" t="s">
        <v>32</v>
      </c>
      <c r="K194">
        <v>4759</v>
      </c>
    </row>
    <row r="195">
      <c r="A195" s="25">
        <v>2017</v>
      </c>
      <c r="B195" t="s">
        <v>164</v>
      </c>
      <c r="C195" t="s">
        <v>165</v>
      </c>
      <c r="D195">
        <v>4302</v>
      </c>
      <c r="E195" t="s">
        <v>13</v>
      </c>
      <c r="F195">
        <v>79463</v>
      </c>
      <c r="G195">
        <v>42408</v>
      </c>
      <c r="H195">
        <v>947</v>
      </c>
      <c r="I195" s="30">
        <f>G195-H195</f>
        <v>41461</v>
      </c>
      <c r="J195" s="144" t="s">
        <v>20</v>
      </c>
      <c r="K195">
        <v>3437</v>
      </c>
    </row>
    <row r="196">
      <c r="A196" s="25">
        <v>2017</v>
      </c>
      <c r="B196" t="s">
        <v>164</v>
      </c>
      <c r="C196" t="s">
        <v>165</v>
      </c>
      <c r="D196">
        <v>4302</v>
      </c>
      <c r="E196" t="s">
        <v>13</v>
      </c>
      <c r="F196">
        <v>79463</v>
      </c>
      <c r="G196">
        <v>42408</v>
      </c>
      <c r="H196">
        <v>947</v>
      </c>
      <c r="I196" s="30">
        <f>G196-H196</f>
        <v>41461</v>
      </c>
      <c r="J196" s="144" t="s">
        <v>33</v>
      </c>
      <c r="K196">
        <v>1625</v>
      </c>
    </row>
    <row r="197">
      <c r="A197" s="25">
        <v>2017</v>
      </c>
      <c r="B197" t="s">
        <v>164</v>
      </c>
      <c r="C197" t="s">
        <v>165</v>
      </c>
      <c r="D197">
        <v>4302</v>
      </c>
      <c r="E197" t="s">
        <v>13</v>
      </c>
      <c r="F197">
        <v>79463</v>
      </c>
      <c r="G197">
        <v>42408</v>
      </c>
      <c r="H197">
        <v>947</v>
      </c>
      <c r="I197" s="30">
        <f>G197-H197</f>
        <v>41461</v>
      </c>
      <c r="J197" s="144" t="s">
        <v>14</v>
      </c>
      <c r="K197">
        <v>1323</v>
      </c>
    </row>
    <row r="198">
      <c r="A198" s="25">
        <v>2017</v>
      </c>
      <c r="B198" t="s">
        <v>164</v>
      </c>
      <c r="C198" t="s">
        <v>165</v>
      </c>
      <c r="D198">
        <v>4302</v>
      </c>
      <c r="E198" t="s">
        <v>13</v>
      </c>
      <c r="F198">
        <v>79463</v>
      </c>
      <c r="G198">
        <v>42408</v>
      </c>
      <c r="H198">
        <v>947</v>
      </c>
      <c r="I198" s="30">
        <f>G198-H198</f>
        <v>41461</v>
      </c>
      <c r="J198" s="144" t="s">
        <v>40</v>
      </c>
      <c r="K198">
        <v>785</v>
      </c>
    </row>
    <row r="199">
      <c r="A199" s="25">
        <v>2017</v>
      </c>
      <c r="B199" t="s">
        <v>164</v>
      </c>
      <c r="C199" t="s">
        <v>165</v>
      </c>
      <c r="D199">
        <v>4302</v>
      </c>
      <c r="E199" t="s">
        <v>13</v>
      </c>
      <c r="F199">
        <v>79463</v>
      </c>
      <c r="G199">
        <v>42408</v>
      </c>
      <c r="H199">
        <v>947</v>
      </c>
      <c r="I199" s="30">
        <f>G199-H199</f>
        <v>41461</v>
      </c>
      <c r="J199" s="144" t="s">
        <v>26</v>
      </c>
      <c r="K199">
        <v>414</v>
      </c>
    </row>
    <row r="200">
      <c r="A200" s="25">
        <v>2017</v>
      </c>
      <c r="B200" t="s">
        <v>164</v>
      </c>
      <c r="C200" t="s">
        <v>165</v>
      </c>
      <c r="D200">
        <v>4302</v>
      </c>
      <c r="E200" t="s">
        <v>13</v>
      </c>
      <c r="F200">
        <v>79463</v>
      </c>
      <c r="G200">
        <v>42408</v>
      </c>
      <c r="H200">
        <v>947</v>
      </c>
      <c r="I200" s="30">
        <f>G200-H200</f>
        <v>41461</v>
      </c>
      <c r="J200" s="144" t="s">
        <v>49</v>
      </c>
      <c r="K200">
        <v>312</v>
      </c>
    </row>
    <row r="201">
      <c r="A201" s="25">
        <v>2017</v>
      </c>
      <c r="B201" t="s">
        <v>164</v>
      </c>
      <c r="C201" t="s">
        <v>165</v>
      </c>
      <c r="D201">
        <v>4302</v>
      </c>
      <c r="E201" t="s">
        <v>13</v>
      </c>
      <c r="F201">
        <v>79463</v>
      </c>
      <c r="G201">
        <v>42408</v>
      </c>
      <c r="H201">
        <v>947</v>
      </c>
      <c r="I201" s="30">
        <f>G201-H201</f>
        <v>41461</v>
      </c>
      <c r="J201" s="144" t="s">
        <v>35</v>
      </c>
      <c r="K201">
        <v>253</v>
      </c>
    </row>
    <row r="202">
      <c r="A202" s="27">
        <v>2017</v>
      </c>
      <c r="B202" s="28" t="s">
        <v>164</v>
      </c>
      <c r="C202" t="s">
        <v>165</v>
      </c>
      <c r="D202" s="28">
        <v>4302</v>
      </c>
      <c r="E202" s="28" t="s">
        <v>13</v>
      </c>
      <c r="F202" s="28">
        <v>79463</v>
      </c>
      <c r="G202" s="28">
        <v>42408</v>
      </c>
      <c r="H202" s="28">
        <v>947</v>
      </c>
      <c r="I202" s="32">
        <f>G202-H202</f>
        <v>41461</v>
      </c>
      <c r="J202" s="146" t="s">
        <v>23</v>
      </c>
      <c r="K202" s="28">
        <v>213</v>
      </c>
    </row>
    <row r="203">
      <c r="A203" s="22">
        <v>2017</v>
      </c>
      <c r="B203" s="23" t="s">
        <v>164</v>
      </c>
      <c r="C203" s="23" t="s">
        <v>165</v>
      </c>
      <c r="D203" s="23">
        <v>4302</v>
      </c>
      <c r="E203" s="23" t="s">
        <v>19</v>
      </c>
      <c r="F203" s="23">
        <v>79462</v>
      </c>
      <c r="G203" s="23">
        <v>38539</v>
      </c>
      <c r="H203" s="23">
        <v>3627</v>
      </c>
      <c r="I203" s="31">
        <f>G203-H203</f>
        <v>34912</v>
      </c>
      <c r="J203" s="145" t="s">
        <v>31</v>
      </c>
      <c r="K203" s="23">
        <v>22306</v>
      </c>
    </row>
    <row r="204">
      <c r="A204" s="27">
        <v>2017</v>
      </c>
      <c r="B204" s="28" t="s">
        <v>164</v>
      </c>
      <c r="C204" s="28" t="s">
        <v>165</v>
      </c>
      <c r="D204" s="28">
        <v>4302</v>
      </c>
      <c r="E204" s="28" t="s">
        <v>19</v>
      </c>
      <c r="F204" s="28">
        <v>79462</v>
      </c>
      <c r="G204" s="28">
        <v>38539</v>
      </c>
      <c r="H204" s="28">
        <v>3627</v>
      </c>
      <c r="I204" s="32">
        <f>G204-H204</f>
        <v>34912</v>
      </c>
      <c r="J204" s="146" t="s">
        <v>30</v>
      </c>
      <c r="K204" s="28">
        <v>12606</v>
      </c>
    </row>
    <row r="205">
      <c r="A205">
        <v>2019</v>
      </c>
      <c r="B205" t="s">
        <v>341</v>
      </c>
      <c r="C205" t="s">
        <v>12</v>
      </c>
      <c r="D205" t="s">
        <v>11</v>
      </c>
      <c r="E205" t="s">
        <v>13</v>
      </c>
      <c r="F205">
        <v>47345328</v>
      </c>
      <c r="G205">
        <v>23730740</v>
      </c>
      <c r="H205">
        <f>555033+520533</f>
        <v>1075566</v>
      </c>
      <c r="I205" s="30">
        <f>G205-H205</f>
        <v>22655174</v>
      </c>
      <c r="J205" s="144" t="s">
        <v>37</v>
      </c>
      <c r="K205">
        <v>5286939</v>
      </c>
    </row>
    <row r="206">
      <c r="A206">
        <v>2019</v>
      </c>
      <c r="B206" t="s">
        <v>341</v>
      </c>
      <c r="C206" t="s">
        <v>12</v>
      </c>
      <c r="D206" t="s">
        <v>11</v>
      </c>
      <c r="E206" t="s">
        <v>13</v>
      </c>
      <c r="F206">
        <v>47345328</v>
      </c>
      <c r="G206">
        <v>23730740</v>
      </c>
      <c r="H206">
        <f>555033+520533</f>
        <v>1075566</v>
      </c>
      <c r="I206" s="30">
        <f>G206-H206</f>
        <v>22655174</v>
      </c>
      <c r="J206" s="144" t="s">
        <v>30</v>
      </c>
      <c r="K206">
        <v>5079015</v>
      </c>
    </row>
    <row r="207">
      <c r="A207">
        <v>2019</v>
      </c>
      <c r="B207" t="s">
        <v>341</v>
      </c>
      <c r="C207" t="s">
        <v>12</v>
      </c>
      <c r="D207" t="s">
        <v>11</v>
      </c>
      <c r="E207" t="s">
        <v>13</v>
      </c>
      <c r="F207">
        <v>47345328</v>
      </c>
      <c r="G207">
        <v>23730740</v>
      </c>
      <c r="H207">
        <f>555033+520533</f>
        <v>1075566</v>
      </c>
      <c r="I207" s="30">
        <f>G207-H207</f>
        <v>22655174</v>
      </c>
      <c r="J207" s="144" t="s">
        <v>51</v>
      </c>
      <c r="K207">
        <v>3055023</v>
      </c>
    </row>
    <row r="208">
      <c r="A208">
        <v>2019</v>
      </c>
      <c r="B208" t="s">
        <v>341</v>
      </c>
      <c r="C208" t="s">
        <v>12</v>
      </c>
      <c r="D208" t="s">
        <v>11</v>
      </c>
      <c r="E208" t="s">
        <v>13</v>
      </c>
      <c r="F208">
        <v>47345328</v>
      </c>
      <c r="G208">
        <v>23730740</v>
      </c>
      <c r="H208">
        <f>555033+520533</f>
        <v>1075566</v>
      </c>
      <c r="I208" s="30">
        <f>G208-H208</f>
        <v>22655174</v>
      </c>
      <c r="J208" s="144" t="s">
        <v>31</v>
      </c>
      <c r="K208">
        <v>1920407</v>
      </c>
    </row>
    <row r="209">
      <c r="A209">
        <v>2019</v>
      </c>
      <c r="B209" t="s">
        <v>341</v>
      </c>
      <c r="C209" t="s">
        <v>12</v>
      </c>
      <c r="D209" t="s">
        <v>11</v>
      </c>
      <c r="E209" t="s">
        <v>13</v>
      </c>
      <c r="F209">
        <v>47345328</v>
      </c>
      <c r="G209">
        <v>23730740</v>
      </c>
      <c r="H209">
        <f>555033+520533</f>
        <v>1075566</v>
      </c>
      <c r="I209" s="30">
        <f>G209-H209</f>
        <v>22655174</v>
      </c>
      <c r="J209" s="144" t="s">
        <v>32</v>
      </c>
      <c r="K209">
        <v>1428548</v>
      </c>
    </row>
    <row r="210">
      <c r="A210">
        <v>2019</v>
      </c>
      <c r="B210" t="s">
        <v>341</v>
      </c>
      <c r="C210" t="s">
        <v>12</v>
      </c>
      <c r="D210" t="s">
        <v>11</v>
      </c>
      <c r="E210" t="s">
        <v>13</v>
      </c>
      <c r="F210">
        <v>47345328</v>
      </c>
      <c r="G210">
        <v>23730740</v>
      </c>
      <c r="H210">
        <f>555033+520533</f>
        <v>1075566</v>
      </c>
      <c r="I210" s="30">
        <f>G210-H210</f>
        <v>22655174</v>
      </c>
      <c r="J210" s="144" t="s">
        <v>352</v>
      </c>
      <c r="K210">
        <v>1403170</v>
      </c>
    </row>
    <row r="211">
      <c r="A211">
        <v>2019</v>
      </c>
      <c r="B211" t="s">
        <v>341</v>
      </c>
      <c r="C211" t="s">
        <v>12</v>
      </c>
      <c r="D211" t="s">
        <v>11</v>
      </c>
      <c r="E211" t="s">
        <v>13</v>
      </c>
      <c r="F211">
        <v>47345328</v>
      </c>
      <c r="G211">
        <v>23730740</v>
      </c>
      <c r="H211">
        <f>555033+520533</f>
        <v>1075566</v>
      </c>
      <c r="I211" s="30">
        <f>G211-H211</f>
        <v>22655174</v>
      </c>
      <c r="J211" s="144" t="s">
        <v>34</v>
      </c>
      <c r="K211">
        <v>795508</v>
      </c>
    </row>
    <row r="212">
      <c r="A212">
        <v>2019</v>
      </c>
      <c r="B212" t="s">
        <v>341</v>
      </c>
      <c r="C212" t="s">
        <v>12</v>
      </c>
      <c r="D212" t="s">
        <v>11</v>
      </c>
      <c r="E212" t="s">
        <v>13</v>
      </c>
      <c r="F212">
        <v>47345328</v>
      </c>
      <c r="G212">
        <v>23730740</v>
      </c>
      <c r="H212">
        <f>555033+520533</f>
        <v>1075566</v>
      </c>
      <c r="I212" s="30">
        <f>G212-H212</f>
        <v>22655174</v>
      </c>
      <c r="J212" s="144" t="s">
        <v>43</v>
      </c>
      <c r="K212">
        <v>741772</v>
      </c>
    </row>
    <row r="213">
      <c r="A213">
        <v>2019</v>
      </c>
      <c r="B213" t="s">
        <v>341</v>
      </c>
      <c r="C213" t="s">
        <v>12</v>
      </c>
      <c r="D213" t="s">
        <v>11</v>
      </c>
      <c r="E213" t="s">
        <v>13</v>
      </c>
      <c r="F213">
        <v>47345328</v>
      </c>
      <c r="G213">
        <v>23730740</v>
      </c>
      <c r="H213">
        <f>555033+520533</f>
        <v>1075566</v>
      </c>
      <c r="I213" s="30">
        <f>G213-H213</f>
        <v>22655174</v>
      </c>
      <c r="J213" s="144" t="s">
        <v>95</v>
      </c>
      <c r="K213">
        <v>566057</v>
      </c>
    </row>
    <row r="214">
      <c r="A214">
        <v>2019</v>
      </c>
      <c r="B214" t="s">
        <v>341</v>
      </c>
      <c r="C214" t="s">
        <v>12</v>
      </c>
      <c r="D214" t="s">
        <v>11</v>
      </c>
      <c r="E214" t="s">
        <v>13</v>
      </c>
      <c r="F214">
        <v>47345328</v>
      </c>
      <c r="G214">
        <v>23730740</v>
      </c>
      <c r="H214">
        <f>555033+520533</f>
        <v>1075566</v>
      </c>
      <c r="I214" s="30">
        <f>G214-H214</f>
        <v>22655174</v>
      </c>
      <c r="J214" s="144" t="s">
        <v>40</v>
      </c>
      <c r="K214">
        <v>564949</v>
      </c>
    </row>
    <row r="215">
      <c r="A215">
        <v>2019</v>
      </c>
      <c r="B215" t="s">
        <v>341</v>
      </c>
      <c r="C215" t="s">
        <v>12</v>
      </c>
      <c r="D215" t="s">
        <v>11</v>
      </c>
      <c r="E215" t="s">
        <v>13</v>
      </c>
      <c r="F215">
        <v>47345328</v>
      </c>
      <c r="G215">
        <v>23730740</v>
      </c>
      <c r="H215">
        <f>555033+520533</f>
        <v>1075566</v>
      </c>
      <c r="I215" s="30">
        <f>G215-H215</f>
        <v>22655174</v>
      </c>
      <c r="J215" s="144" t="s">
        <v>365</v>
      </c>
      <c r="K215">
        <v>490074</v>
      </c>
    </row>
    <row r="216">
      <c r="A216">
        <v>2019</v>
      </c>
      <c r="B216" t="s">
        <v>341</v>
      </c>
      <c r="C216" t="s">
        <v>12</v>
      </c>
      <c r="D216" t="s">
        <v>11</v>
      </c>
      <c r="E216" t="s">
        <v>13</v>
      </c>
      <c r="F216">
        <v>47345328</v>
      </c>
      <c r="G216">
        <v>23730740</v>
      </c>
      <c r="H216">
        <f>555033+520533</f>
        <v>1075566</v>
      </c>
      <c r="I216" s="30">
        <f>G216-H216</f>
        <v>22655174</v>
      </c>
      <c r="J216" s="144" t="s">
        <v>14</v>
      </c>
      <c r="K216">
        <v>412136</v>
      </c>
    </row>
    <row r="217">
      <c r="A217">
        <v>2019</v>
      </c>
      <c r="B217" t="s">
        <v>341</v>
      </c>
      <c r="C217" t="s">
        <v>12</v>
      </c>
      <c r="D217" t="s">
        <v>11</v>
      </c>
      <c r="E217" t="s">
        <v>13</v>
      </c>
      <c r="F217">
        <v>47345328</v>
      </c>
      <c r="G217">
        <v>23730740</v>
      </c>
      <c r="H217">
        <f>555033+520533</f>
        <v>1075566</v>
      </c>
      <c r="I217" s="30">
        <f>G217-H217</f>
        <v>22655174</v>
      </c>
      <c r="J217" s="144" t="s">
        <v>365</v>
      </c>
      <c r="K217">
        <v>265469</v>
      </c>
    </row>
    <row r="218">
      <c r="A218">
        <v>2019</v>
      </c>
      <c r="B218" t="s">
        <v>341</v>
      </c>
      <c r="C218" t="s">
        <v>12</v>
      </c>
      <c r="D218" t="s">
        <v>11</v>
      </c>
      <c r="E218" t="s">
        <v>13</v>
      </c>
      <c r="F218">
        <v>47345328</v>
      </c>
      <c r="G218">
        <v>23730740</v>
      </c>
      <c r="H218">
        <f>555033+520533</f>
        <v>1075566</v>
      </c>
      <c r="I218" s="30">
        <f>G218-H218</f>
        <v>22655174</v>
      </c>
      <c r="J218" s="144" t="s">
        <v>23</v>
      </c>
      <c r="K218">
        <v>176339</v>
      </c>
    </row>
    <row r="219">
      <c r="A219">
        <v>2019</v>
      </c>
      <c r="B219" t="s">
        <v>341</v>
      </c>
      <c r="C219" t="s">
        <v>12</v>
      </c>
      <c r="D219" t="s">
        <v>11</v>
      </c>
      <c r="E219" t="s">
        <v>13</v>
      </c>
      <c r="F219">
        <v>47345328</v>
      </c>
      <c r="G219">
        <v>23730740</v>
      </c>
      <c r="H219">
        <f>555033+520533</f>
        <v>1075566</v>
      </c>
      <c r="I219" s="30">
        <f>G219-H219</f>
        <v>22655174</v>
      </c>
      <c r="J219" s="144" t="s">
        <v>365</v>
      </c>
      <c r="K219">
        <v>147140</v>
      </c>
    </row>
    <row r="220">
      <c r="A220">
        <v>2019</v>
      </c>
      <c r="B220" t="s">
        <v>341</v>
      </c>
      <c r="C220" t="s">
        <v>12</v>
      </c>
      <c r="D220" t="s">
        <v>11</v>
      </c>
      <c r="E220" t="s">
        <v>13</v>
      </c>
      <c r="F220">
        <v>47345328</v>
      </c>
      <c r="G220">
        <v>23730740</v>
      </c>
      <c r="H220">
        <f>555033+520533</f>
        <v>1075566</v>
      </c>
      <c r="I220" s="30">
        <f>G220-H220</f>
        <v>22655174</v>
      </c>
      <c r="J220" s="144" t="s">
        <v>365</v>
      </c>
      <c r="K220">
        <v>121209</v>
      </c>
    </row>
    <row r="221">
      <c r="A221">
        <v>2019</v>
      </c>
      <c r="B221" t="s">
        <v>341</v>
      </c>
      <c r="C221" t="s">
        <v>12</v>
      </c>
      <c r="D221" t="s">
        <v>11</v>
      </c>
      <c r="E221" t="s">
        <v>13</v>
      </c>
      <c r="F221">
        <v>47345328</v>
      </c>
      <c r="G221">
        <v>23730740</v>
      </c>
      <c r="H221">
        <f>555033+520533</f>
        <v>1075566</v>
      </c>
      <c r="I221" s="30">
        <f>G221-H221</f>
        <v>22655174</v>
      </c>
      <c r="J221" s="144" t="s">
        <v>365</v>
      </c>
      <c r="K221">
        <v>52240</v>
      </c>
    </row>
    <row r="222">
      <c r="A222">
        <v>2019</v>
      </c>
      <c r="B222" t="s">
        <v>341</v>
      </c>
      <c r="C222" t="s">
        <v>12</v>
      </c>
      <c r="D222" t="s">
        <v>11</v>
      </c>
      <c r="E222" t="s">
        <v>13</v>
      </c>
      <c r="F222">
        <v>47345328</v>
      </c>
      <c r="G222">
        <v>23730740</v>
      </c>
      <c r="H222">
        <f>555033+520533</f>
        <v>1075566</v>
      </c>
      <c r="I222" s="30">
        <f>G222-H222</f>
        <v>22655174</v>
      </c>
      <c r="J222" s="144" t="s">
        <v>365</v>
      </c>
      <c r="K222">
        <v>30105</v>
      </c>
    </row>
    <row r="223">
      <c r="A223">
        <v>2019</v>
      </c>
      <c r="B223" t="s">
        <v>341</v>
      </c>
      <c r="C223" t="s">
        <v>12</v>
      </c>
      <c r="D223" t="s">
        <v>11</v>
      </c>
      <c r="E223" t="s">
        <v>13</v>
      </c>
      <c r="F223">
        <v>47345328</v>
      </c>
      <c r="G223">
        <v>23730740</v>
      </c>
      <c r="H223">
        <f>555033+520533</f>
        <v>1075566</v>
      </c>
      <c r="I223" s="30">
        <f>G223-H223</f>
        <v>22655174</v>
      </c>
      <c r="J223" s="144" t="s">
        <v>23</v>
      </c>
      <c r="K223">
        <v>28469</v>
      </c>
    </row>
    <row r="224">
      <c r="A224">
        <v>2019</v>
      </c>
      <c r="B224" t="s">
        <v>341</v>
      </c>
      <c r="C224" t="s">
        <v>12</v>
      </c>
      <c r="D224" t="s">
        <v>11</v>
      </c>
      <c r="E224" t="s">
        <v>13</v>
      </c>
      <c r="F224">
        <v>47345328</v>
      </c>
      <c r="G224">
        <v>23730740</v>
      </c>
      <c r="H224">
        <f>555033+520533</f>
        <v>1075566</v>
      </c>
      <c r="I224" s="30">
        <f>G224-H224</f>
        <v>22655174</v>
      </c>
      <c r="J224" s="144" t="s">
        <v>365</v>
      </c>
      <c r="K224">
        <v>18587</v>
      </c>
    </row>
    <row r="225">
      <c r="A225">
        <v>2019</v>
      </c>
      <c r="B225" t="s">
        <v>341</v>
      </c>
      <c r="C225" t="s">
        <v>12</v>
      </c>
      <c r="D225" t="s">
        <v>11</v>
      </c>
      <c r="E225" t="s">
        <v>13</v>
      </c>
      <c r="F225">
        <v>47345328</v>
      </c>
      <c r="G225">
        <v>23730740</v>
      </c>
      <c r="H225">
        <f>555033+520533</f>
        <v>1075566</v>
      </c>
      <c r="I225" s="30">
        <f>G225-H225</f>
        <v>22655174</v>
      </c>
      <c r="J225" s="144" t="s">
        <v>26</v>
      </c>
      <c r="K225">
        <v>12146</v>
      </c>
    </row>
    <row r="226">
      <c r="A226">
        <v>2019</v>
      </c>
      <c r="B226" t="s">
        <v>341</v>
      </c>
      <c r="C226" t="s">
        <v>12</v>
      </c>
      <c r="D226" t="s">
        <v>11</v>
      </c>
      <c r="E226" t="s">
        <v>13</v>
      </c>
      <c r="F226">
        <v>47345328</v>
      </c>
      <c r="G226">
        <v>23730740</v>
      </c>
      <c r="H226">
        <f>555033+520533</f>
        <v>1075566</v>
      </c>
      <c r="I226" s="30">
        <f>G226-H226</f>
        <v>22655174</v>
      </c>
      <c r="J226" s="144" t="s">
        <v>365</v>
      </c>
      <c r="K226">
        <v>10352</v>
      </c>
    </row>
    <row r="227">
      <c r="A227">
        <v>2019</v>
      </c>
      <c r="B227" t="s">
        <v>341</v>
      </c>
      <c r="C227" t="s">
        <v>12</v>
      </c>
      <c r="D227" t="s">
        <v>11</v>
      </c>
      <c r="E227" t="s">
        <v>13</v>
      </c>
      <c r="F227">
        <v>47345328</v>
      </c>
      <c r="G227">
        <v>23730740</v>
      </c>
      <c r="H227">
        <f>555033+520533</f>
        <v>1075566</v>
      </c>
      <c r="I227" s="30">
        <f>G227-H227</f>
        <v>22655174</v>
      </c>
      <c r="J227" s="144" t="s">
        <v>49</v>
      </c>
      <c r="K227">
        <v>8062</v>
      </c>
    </row>
    <row r="228">
      <c r="A228">
        <v>2019</v>
      </c>
      <c r="B228" t="s">
        <v>341</v>
      </c>
      <c r="C228" t="s">
        <v>12</v>
      </c>
      <c r="D228" t="s">
        <v>11</v>
      </c>
      <c r="E228" t="s">
        <v>13</v>
      </c>
      <c r="F228">
        <v>47345328</v>
      </c>
      <c r="G228">
        <v>23730740</v>
      </c>
      <c r="H228">
        <f>555033+520533</f>
        <v>1075566</v>
      </c>
      <c r="I228" s="30">
        <f>G228-H228</f>
        <v>22655174</v>
      </c>
      <c r="J228" s="144" t="s">
        <v>365</v>
      </c>
      <c r="K228">
        <v>7825</v>
      </c>
    </row>
    <row r="229">
      <c r="A229">
        <v>2019</v>
      </c>
      <c r="B229" t="s">
        <v>341</v>
      </c>
      <c r="C229" t="s">
        <v>12</v>
      </c>
      <c r="D229" t="s">
        <v>11</v>
      </c>
      <c r="E229" t="s">
        <v>13</v>
      </c>
      <c r="F229">
        <v>47345328</v>
      </c>
      <c r="G229">
        <v>23730740</v>
      </c>
      <c r="H229">
        <f>555033+520533</f>
        <v>1075566</v>
      </c>
      <c r="I229" s="30">
        <f>G229-H229</f>
        <v>22655174</v>
      </c>
      <c r="J229" s="144" t="s">
        <v>365</v>
      </c>
      <c r="K229">
        <v>6663</v>
      </c>
    </row>
    <row r="230">
      <c r="A230">
        <v>2019</v>
      </c>
      <c r="B230" t="s">
        <v>341</v>
      </c>
      <c r="C230" t="s">
        <v>12</v>
      </c>
      <c r="D230" t="s">
        <v>11</v>
      </c>
      <c r="E230" t="s">
        <v>13</v>
      </c>
      <c r="F230">
        <v>47345328</v>
      </c>
      <c r="G230">
        <v>23730740</v>
      </c>
      <c r="H230">
        <f>555033+520533</f>
        <v>1075566</v>
      </c>
      <c r="I230" s="30">
        <f>G230-H230</f>
        <v>22655174</v>
      </c>
      <c r="J230" s="144" t="s">
        <v>365</v>
      </c>
      <c r="K230">
        <v>5882</v>
      </c>
    </row>
    <row r="231">
      <c r="A231">
        <v>2019</v>
      </c>
      <c r="B231" t="s">
        <v>341</v>
      </c>
      <c r="C231" t="s">
        <v>12</v>
      </c>
      <c r="D231" t="s">
        <v>11</v>
      </c>
      <c r="E231" t="s">
        <v>13</v>
      </c>
      <c r="F231">
        <v>47345328</v>
      </c>
      <c r="G231">
        <v>23730740</v>
      </c>
      <c r="H231">
        <f>555033+520533</f>
        <v>1075566</v>
      </c>
      <c r="I231" s="30">
        <f>G231-H231</f>
        <v>22655174</v>
      </c>
      <c r="J231" s="144" t="s">
        <v>365</v>
      </c>
      <c r="K231">
        <v>4912</v>
      </c>
    </row>
    <row r="232">
      <c r="A232">
        <v>2019</v>
      </c>
      <c r="B232" t="s">
        <v>341</v>
      </c>
      <c r="C232" t="s">
        <v>12</v>
      </c>
      <c r="D232" t="s">
        <v>11</v>
      </c>
      <c r="E232" t="s">
        <v>13</v>
      </c>
      <c r="F232">
        <v>47345328</v>
      </c>
      <c r="G232">
        <v>23730740</v>
      </c>
      <c r="H232">
        <f>555033+520533</f>
        <v>1075566</v>
      </c>
      <c r="I232" s="30">
        <f>G232-H232</f>
        <v>22655174</v>
      </c>
      <c r="J232" s="144" t="s">
        <v>49</v>
      </c>
      <c r="K232">
        <v>4569</v>
      </c>
    </row>
    <row r="233">
      <c r="A233">
        <v>2019</v>
      </c>
      <c r="B233" t="s">
        <v>341</v>
      </c>
      <c r="C233" t="s">
        <v>12</v>
      </c>
      <c r="D233" t="s">
        <v>11</v>
      </c>
      <c r="E233" t="s">
        <v>13</v>
      </c>
      <c r="F233">
        <v>47345328</v>
      </c>
      <c r="G233">
        <v>23730740</v>
      </c>
      <c r="H233">
        <f>555033+520533</f>
        <v>1075566</v>
      </c>
      <c r="I233" s="30">
        <f>G233-H233</f>
        <v>22655174</v>
      </c>
      <c r="J233" s="144" t="s">
        <v>49</v>
      </c>
      <c r="K233">
        <v>3150</v>
      </c>
    </row>
    <row r="234">
      <c r="A234">
        <v>2019</v>
      </c>
      <c r="B234" t="s">
        <v>341</v>
      </c>
      <c r="C234" t="s">
        <v>12</v>
      </c>
      <c r="D234" t="s">
        <v>11</v>
      </c>
      <c r="E234" t="s">
        <v>13</v>
      </c>
      <c r="F234">
        <v>47345328</v>
      </c>
      <c r="G234">
        <v>23730740</v>
      </c>
      <c r="H234">
        <f>555033+520533</f>
        <v>1075566</v>
      </c>
      <c r="I234" s="30">
        <f>G234-H234</f>
        <v>22655174</v>
      </c>
      <c r="J234" s="144" t="s">
        <v>365</v>
      </c>
      <c r="K234">
        <v>3084</v>
      </c>
    </row>
    <row r="235">
      <c r="A235">
        <v>2019</v>
      </c>
      <c r="B235" t="s">
        <v>341</v>
      </c>
      <c r="C235" t="s">
        <v>12</v>
      </c>
      <c r="D235" t="s">
        <v>11</v>
      </c>
      <c r="E235" t="s">
        <v>13</v>
      </c>
      <c r="F235">
        <v>47345328</v>
      </c>
      <c r="G235">
        <v>23730740</v>
      </c>
      <c r="H235">
        <f>555033+520533</f>
        <v>1075566</v>
      </c>
      <c r="I235" s="30">
        <f>G235-H235</f>
        <v>22655174</v>
      </c>
      <c r="J235" s="144" t="s">
        <v>365</v>
      </c>
      <c r="K235">
        <v>2061</v>
      </c>
    </row>
    <row r="236">
      <c r="A236">
        <v>2019</v>
      </c>
      <c r="B236" t="s">
        <v>341</v>
      </c>
      <c r="C236" t="s">
        <v>12</v>
      </c>
      <c r="D236" t="s">
        <v>11</v>
      </c>
      <c r="E236" t="s">
        <v>13</v>
      </c>
      <c r="F236">
        <v>47345328</v>
      </c>
      <c r="G236">
        <v>23730740</v>
      </c>
      <c r="H236">
        <f>555033+520533</f>
        <v>1075566</v>
      </c>
      <c r="I236" s="30">
        <f>G236-H236</f>
        <v>22655174</v>
      </c>
      <c r="J236" s="144" t="s">
        <v>365</v>
      </c>
      <c r="K236">
        <v>1578</v>
      </c>
    </row>
    <row r="237">
      <c r="A237">
        <v>2019</v>
      </c>
      <c r="B237" t="s">
        <v>341</v>
      </c>
      <c r="C237" t="s">
        <v>12</v>
      </c>
      <c r="D237" t="s">
        <v>11</v>
      </c>
      <c r="E237" t="s">
        <v>13</v>
      </c>
      <c r="F237">
        <v>47345328</v>
      </c>
      <c r="G237">
        <v>23730740</v>
      </c>
      <c r="H237">
        <f>555033+520533</f>
        <v>1075566</v>
      </c>
      <c r="I237" s="30">
        <f>G237-H237</f>
        <v>22655174</v>
      </c>
      <c r="J237" s="144" t="s">
        <v>23</v>
      </c>
      <c r="K237">
        <v>1413</v>
      </c>
    </row>
    <row r="238">
      <c r="A238">
        <v>2019</v>
      </c>
      <c r="B238" t="s">
        <v>341</v>
      </c>
      <c r="C238" t="s">
        <v>12</v>
      </c>
      <c r="D238" t="s">
        <v>11</v>
      </c>
      <c r="E238" t="s">
        <v>13</v>
      </c>
      <c r="F238">
        <v>47345328</v>
      </c>
      <c r="G238">
        <v>23730740</v>
      </c>
      <c r="H238">
        <f>555033+520533</f>
        <v>1075566</v>
      </c>
      <c r="I238" s="30">
        <f>G238-H238</f>
        <v>22655174</v>
      </c>
      <c r="J238" s="144" t="s">
        <v>365</v>
      </c>
      <c r="K238">
        <v>1321</v>
      </c>
    </row>
    <row r="239">
      <c r="A239">
        <v>2019</v>
      </c>
      <c r="B239" t="s">
        <v>341</v>
      </c>
      <c r="C239" t="s">
        <v>163</v>
      </c>
      <c r="D239">
        <v>43</v>
      </c>
      <c r="E239" t="s">
        <v>13</v>
      </c>
      <c r="F239">
        <v>176688</v>
      </c>
      <c r="G239">
        <v>96985</v>
      </c>
      <c r="H239">
        <f>3152+2565</f>
        <v>5717</v>
      </c>
      <c r="I239" s="30">
        <f>G239-H239</f>
        <v>91268</v>
      </c>
      <c r="J239" s="144" t="s">
        <v>37</v>
      </c>
      <c r="K239">
        <v>20515</v>
      </c>
    </row>
    <row r="240">
      <c r="A240">
        <v>2019</v>
      </c>
      <c r="B240" t="s">
        <v>341</v>
      </c>
      <c r="C240" t="s">
        <v>163</v>
      </c>
      <c r="D240">
        <v>43</v>
      </c>
      <c r="E240" t="s">
        <v>13</v>
      </c>
      <c r="F240">
        <v>176688</v>
      </c>
      <c r="G240">
        <v>96985</v>
      </c>
      <c r="H240">
        <f>3152+2565</f>
        <v>5717</v>
      </c>
      <c r="I240" s="30">
        <f>G240-H240</f>
        <v>91268</v>
      </c>
      <c r="J240" s="144" t="s">
        <v>31</v>
      </c>
      <c r="K240">
        <v>17855</v>
      </c>
    </row>
    <row r="241">
      <c r="A241">
        <v>2019</v>
      </c>
      <c r="B241" t="s">
        <v>341</v>
      </c>
      <c r="C241" t="s">
        <v>163</v>
      </c>
      <c r="D241">
        <v>43</v>
      </c>
      <c r="E241" t="s">
        <v>13</v>
      </c>
      <c r="F241">
        <v>176688</v>
      </c>
      <c r="G241">
        <v>96985</v>
      </c>
      <c r="H241">
        <f>3152+2565</f>
        <v>5717</v>
      </c>
      <c r="I241" s="30">
        <f>G241-H241</f>
        <v>91268</v>
      </c>
      <c r="J241" s="144" t="s">
        <v>36</v>
      </c>
      <c r="K241">
        <v>15479</v>
      </c>
    </row>
    <row r="242">
      <c r="A242">
        <v>2019</v>
      </c>
      <c r="B242" t="s">
        <v>341</v>
      </c>
      <c r="C242" t="s">
        <v>163</v>
      </c>
      <c r="D242">
        <v>43</v>
      </c>
      <c r="E242" t="s">
        <v>13</v>
      </c>
      <c r="F242">
        <v>176688</v>
      </c>
      <c r="G242">
        <v>96985</v>
      </c>
      <c r="H242">
        <f>3152+2565</f>
        <v>5717</v>
      </c>
      <c r="I242" s="30">
        <f>G242-H242</f>
        <v>91268</v>
      </c>
      <c r="J242" s="144" t="s">
        <v>51</v>
      </c>
      <c r="K242">
        <v>10194</v>
      </c>
    </row>
    <row r="243">
      <c r="A243">
        <v>2019</v>
      </c>
      <c r="B243" t="s">
        <v>341</v>
      </c>
      <c r="C243" t="s">
        <v>163</v>
      </c>
      <c r="D243">
        <v>43</v>
      </c>
      <c r="E243" t="s">
        <v>13</v>
      </c>
      <c r="F243">
        <v>176688</v>
      </c>
      <c r="G243">
        <v>96985</v>
      </c>
      <c r="H243">
        <f>3152+2565</f>
        <v>5717</v>
      </c>
      <c r="I243" s="30">
        <f>G243-H243</f>
        <v>91268</v>
      </c>
      <c r="J243" s="144" t="s">
        <v>32</v>
      </c>
      <c r="K243">
        <v>5469</v>
      </c>
    </row>
    <row r="244">
      <c r="A244">
        <v>2019</v>
      </c>
      <c r="B244" t="s">
        <v>341</v>
      </c>
      <c r="C244" t="s">
        <v>163</v>
      </c>
      <c r="D244">
        <v>43</v>
      </c>
      <c r="E244" t="s">
        <v>13</v>
      </c>
      <c r="F244">
        <v>176688</v>
      </c>
      <c r="G244">
        <v>96985</v>
      </c>
      <c r="H244">
        <f>3152+2565</f>
        <v>5717</v>
      </c>
      <c r="I244" s="30">
        <f>G244-H244</f>
        <v>91268</v>
      </c>
      <c r="J244" s="144" t="s">
        <v>352</v>
      </c>
      <c r="K244">
        <v>4549</v>
      </c>
    </row>
    <row r="245">
      <c r="A245">
        <v>2019</v>
      </c>
      <c r="B245" t="s">
        <v>341</v>
      </c>
      <c r="C245" t="s">
        <v>163</v>
      </c>
      <c r="D245">
        <v>43</v>
      </c>
      <c r="E245" t="s">
        <v>13</v>
      </c>
      <c r="F245">
        <v>176688</v>
      </c>
      <c r="G245">
        <v>96985</v>
      </c>
      <c r="H245">
        <f>3152+2565</f>
        <v>5717</v>
      </c>
      <c r="I245" s="30">
        <f>G245-H245</f>
        <v>91268</v>
      </c>
      <c r="J245" s="144" t="s">
        <v>34</v>
      </c>
      <c r="K245">
        <v>3034</v>
      </c>
    </row>
    <row r="246">
      <c r="A246">
        <v>2019</v>
      </c>
      <c r="B246" t="s">
        <v>341</v>
      </c>
      <c r="C246" t="s">
        <v>163</v>
      </c>
      <c r="D246">
        <v>43</v>
      </c>
      <c r="E246" t="s">
        <v>13</v>
      </c>
      <c r="F246">
        <v>176688</v>
      </c>
      <c r="G246">
        <v>96985</v>
      </c>
      <c r="H246">
        <f>3152+2565</f>
        <v>5717</v>
      </c>
      <c r="I246" s="30">
        <f>G246-H246</f>
        <v>91268</v>
      </c>
      <c r="J246" s="144" t="s">
        <v>43</v>
      </c>
      <c r="K246">
        <v>2891</v>
      </c>
    </row>
    <row r="247">
      <c r="A247">
        <v>2019</v>
      </c>
      <c r="B247" t="s">
        <v>341</v>
      </c>
      <c r="C247" t="s">
        <v>163</v>
      </c>
      <c r="D247">
        <v>43</v>
      </c>
      <c r="E247" t="s">
        <v>13</v>
      </c>
      <c r="F247">
        <v>176688</v>
      </c>
      <c r="G247">
        <v>96985</v>
      </c>
      <c r="H247">
        <f>3152+2565</f>
        <v>5717</v>
      </c>
      <c r="I247" s="30">
        <f>G247-H247</f>
        <v>91268</v>
      </c>
      <c r="J247" s="144" t="s">
        <v>95</v>
      </c>
      <c r="K247">
        <v>2172</v>
      </c>
    </row>
    <row r="248">
      <c r="A248">
        <v>2019</v>
      </c>
      <c r="B248" t="s">
        <v>341</v>
      </c>
      <c r="C248" t="s">
        <v>163</v>
      </c>
      <c r="D248">
        <v>43</v>
      </c>
      <c r="E248" t="s">
        <v>13</v>
      </c>
      <c r="F248">
        <v>176688</v>
      </c>
      <c r="G248">
        <v>96985</v>
      </c>
      <c r="H248">
        <f>3152+2565</f>
        <v>5717</v>
      </c>
      <c r="I248" s="30">
        <f>G248-H248</f>
        <v>91268</v>
      </c>
      <c r="J248" s="144" t="s">
        <v>40</v>
      </c>
      <c r="K248">
        <v>1952</v>
      </c>
    </row>
    <row r="249">
      <c r="A249">
        <v>2019</v>
      </c>
      <c r="B249" t="s">
        <v>341</v>
      </c>
      <c r="C249" t="s">
        <v>163</v>
      </c>
      <c r="D249">
        <v>43</v>
      </c>
      <c r="E249" t="s">
        <v>13</v>
      </c>
      <c r="F249">
        <v>176688</v>
      </c>
      <c r="G249">
        <v>96985</v>
      </c>
      <c r="H249">
        <f>3152+2565</f>
        <v>5717</v>
      </c>
      <c r="I249" s="30">
        <f>G249-H249</f>
        <v>91268</v>
      </c>
      <c r="J249" s="144" t="s">
        <v>365</v>
      </c>
      <c r="K249">
        <v>1723</v>
      </c>
    </row>
    <row r="250">
      <c r="A250">
        <v>2019</v>
      </c>
      <c r="B250" t="s">
        <v>341</v>
      </c>
      <c r="C250" t="s">
        <v>163</v>
      </c>
      <c r="D250">
        <v>43</v>
      </c>
      <c r="E250" t="s">
        <v>13</v>
      </c>
      <c r="F250">
        <v>176688</v>
      </c>
      <c r="G250">
        <v>96985</v>
      </c>
      <c r="H250">
        <f>3152+2565</f>
        <v>5717</v>
      </c>
      <c r="I250" s="30">
        <f>G250-H250</f>
        <v>91268</v>
      </c>
      <c r="J250" s="144" t="s">
        <v>14</v>
      </c>
      <c r="K250">
        <v>1509</v>
      </c>
    </row>
    <row r="251">
      <c r="A251">
        <v>2019</v>
      </c>
      <c r="B251" t="s">
        <v>341</v>
      </c>
      <c r="C251" t="s">
        <v>163</v>
      </c>
      <c r="D251">
        <v>43</v>
      </c>
      <c r="E251" t="s">
        <v>13</v>
      </c>
      <c r="F251">
        <v>176688</v>
      </c>
      <c r="G251">
        <v>96985</v>
      </c>
      <c r="H251">
        <f>3152+2565</f>
        <v>5717</v>
      </c>
      <c r="I251" s="30">
        <f>G251-H251</f>
        <v>91268</v>
      </c>
      <c r="J251" s="144" t="s">
        <v>365</v>
      </c>
      <c r="K251">
        <v>961</v>
      </c>
    </row>
    <row r="252">
      <c r="A252">
        <v>2019</v>
      </c>
      <c r="B252" t="s">
        <v>341</v>
      </c>
      <c r="C252" t="s">
        <v>163</v>
      </c>
      <c r="D252">
        <v>43</v>
      </c>
      <c r="E252" t="s">
        <v>13</v>
      </c>
      <c r="F252">
        <v>176688</v>
      </c>
      <c r="G252">
        <v>96985</v>
      </c>
      <c r="H252">
        <f>3152+2565</f>
        <v>5717</v>
      </c>
      <c r="I252" s="30">
        <f>G252-H252</f>
        <v>91268</v>
      </c>
      <c r="J252" s="144" t="s">
        <v>365</v>
      </c>
      <c r="K252">
        <v>812</v>
      </c>
    </row>
    <row r="253">
      <c r="A253">
        <v>2019</v>
      </c>
      <c r="B253" t="s">
        <v>341</v>
      </c>
      <c r="C253" t="s">
        <v>163</v>
      </c>
      <c r="D253">
        <v>43</v>
      </c>
      <c r="E253" t="s">
        <v>13</v>
      </c>
      <c r="F253">
        <v>176688</v>
      </c>
      <c r="G253">
        <v>96985</v>
      </c>
      <c r="H253">
        <f>3152+2565</f>
        <v>5717</v>
      </c>
      <c r="I253" s="30">
        <f>G253-H253</f>
        <v>91268</v>
      </c>
      <c r="J253" s="144" t="s">
        <v>365</v>
      </c>
      <c r="K253">
        <v>800</v>
      </c>
    </row>
    <row r="254">
      <c r="A254">
        <v>2019</v>
      </c>
      <c r="B254" t="s">
        <v>341</v>
      </c>
      <c r="C254" t="s">
        <v>163</v>
      </c>
      <c r="D254">
        <v>43</v>
      </c>
      <c r="E254" t="s">
        <v>13</v>
      </c>
      <c r="F254">
        <v>176688</v>
      </c>
      <c r="G254">
        <v>96985</v>
      </c>
      <c r="H254">
        <f>3152+2565</f>
        <v>5717</v>
      </c>
      <c r="I254" s="30">
        <f>G254-H254</f>
        <v>91268</v>
      </c>
      <c r="J254" s="144" t="s">
        <v>23</v>
      </c>
      <c r="K254">
        <v>792</v>
      </c>
    </row>
    <row r="255">
      <c r="A255">
        <v>2019</v>
      </c>
      <c r="B255" t="s">
        <v>341</v>
      </c>
      <c r="C255" t="s">
        <v>163</v>
      </c>
      <c r="D255">
        <v>43</v>
      </c>
      <c r="E255" t="s">
        <v>13</v>
      </c>
      <c r="F255">
        <v>176688</v>
      </c>
      <c r="G255">
        <v>96985</v>
      </c>
      <c r="H255">
        <f>3152+2565</f>
        <v>5717</v>
      </c>
      <c r="I255" s="30">
        <f>G255-H255</f>
        <v>91268</v>
      </c>
      <c r="J255" s="144" t="s">
        <v>365</v>
      </c>
      <c r="K255">
        <v>280</v>
      </c>
    </row>
    <row r="256">
      <c r="A256">
        <v>2019</v>
      </c>
      <c r="B256" t="s">
        <v>341</v>
      </c>
      <c r="C256" t="s">
        <v>163</v>
      </c>
      <c r="D256">
        <v>43</v>
      </c>
      <c r="E256" t="s">
        <v>13</v>
      </c>
      <c r="F256">
        <v>176688</v>
      </c>
      <c r="G256">
        <v>96985</v>
      </c>
      <c r="H256">
        <f>3152+2565</f>
        <v>5717</v>
      </c>
      <c r="I256" s="30">
        <f>G256-H256</f>
        <v>91268</v>
      </c>
      <c r="J256" s="144" t="s">
        <v>365</v>
      </c>
      <c r="K256">
        <v>84</v>
      </c>
    </row>
    <row r="257">
      <c r="A257">
        <v>2019</v>
      </c>
      <c r="B257" t="s">
        <v>341</v>
      </c>
      <c r="C257" t="s">
        <v>163</v>
      </c>
      <c r="D257">
        <v>43</v>
      </c>
      <c r="E257" t="s">
        <v>13</v>
      </c>
      <c r="F257">
        <v>176688</v>
      </c>
      <c r="G257">
        <v>96985</v>
      </c>
      <c r="H257">
        <f>3152+2565</f>
        <v>5717</v>
      </c>
      <c r="I257" s="30">
        <f>G257-H257</f>
        <v>91268</v>
      </c>
      <c r="J257" s="144" t="s">
        <v>365</v>
      </c>
      <c r="K257">
        <v>52</v>
      </c>
    </row>
    <row r="258">
      <c r="A258">
        <v>2019</v>
      </c>
      <c r="B258" t="s">
        <v>341</v>
      </c>
      <c r="C258" t="s">
        <v>163</v>
      </c>
      <c r="D258">
        <v>43</v>
      </c>
      <c r="E258" t="s">
        <v>13</v>
      </c>
      <c r="F258">
        <v>176688</v>
      </c>
      <c r="G258">
        <v>96985</v>
      </c>
      <c r="H258">
        <f>3152+2565</f>
        <v>5717</v>
      </c>
      <c r="I258" s="30">
        <f>G258-H258</f>
        <v>91268</v>
      </c>
      <c r="J258" s="144" t="s">
        <v>365</v>
      </c>
      <c r="K258">
        <v>48</v>
      </c>
    </row>
    <row r="259">
      <c r="A259">
        <v>2019</v>
      </c>
      <c r="B259" t="s">
        <v>341</v>
      </c>
      <c r="C259" t="s">
        <v>163</v>
      </c>
      <c r="D259">
        <v>43</v>
      </c>
      <c r="E259" t="s">
        <v>13</v>
      </c>
      <c r="F259">
        <v>176688</v>
      </c>
      <c r="G259">
        <v>96985</v>
      </c>
      <c r="H259">
        <f>3152+2565</f>
        <v>5717</v>
      </c>
      <c r="I259" s="30">
        <f>G259-H259</f>
        <v>91268</v>
      </c>
      <c r="J259" s="144" t="s">
        <v>49</v>
      </c>
      <c r="K259">
        <v>28</v>
      </c>
    </row>
    <row r="260">
      <c r="A260">
        <v>2019</v>
      </c>
      <c r="B260" t="s">
        <v>341</v>
      </c>
      <c r="C260" t="s">
        <v>163</v>
      </c>
      <c r="D260">
        <v>43</v>
      </c>
      <c r="E260" t="s">
        <v>13</v>
      </c>
      <c r="F260">
        <v>176688</v>
      </c>
      <c r="G260">
        <v>96985</v>
      </c>
      <c r="H260">
        <f>3152+2565</f>
        <v>5717</v>
      </c>
      <c r="I260" s="30">
        <f>G260-H260</f>
        <v>91268</v>
      </c>
      <c r="J260" s="144" t="s">
        <v>365</v>
      </c>
      <c r="K260">
        <v>22</v>
      </c>
    </row>
    <row r="261">
      <c r="A261">
        <v>2019</v>
      </c>
      <c r="B261" t="s">
        <v>341</v>
      </c>
      <c r="C261" t="s">
        <v>163</v>
      </c>
      <c r="D261">
        <v>43</v>
      </c>
      <c r="E261" t="s">
        <v>13</v>
      </c>
      <c r="F261">
        <v>176688</v>
      </c>
      <c r="G261">
        <v>96985</v>
      </c>
      <c r="H261">
        <f>3152+2565</f>
        <v>5717</v>
      </c>
      <c r="I261" s="30">
        <f>G261-H261</f>
        <v>91268</v>
      </c>
      <c r="J261" s="144" t="s">
        <v>365</v>
      </c>
      <c r="K261">
        <v>14</v>
      </c>
    </row>
    <row r="262">
      <c r="A262">
        <v>2019</v>
      </c>
      <c r="B262" t="s">
        <v>341</v>
      </c>
      <c r="C262" t="s">
        <v>163</v>
      </c>
      <c r="D262">
        <v>43</v>
      </c>
      <c r="E262" t="s">
        <v>13</v>
      </c>
      <c r="F262">
        <v>176688</v>
      </c>
      <c r="G262">
        <v>96985</v>
      </c>
      <c r="H262">
        <f>3152+2565</f>
        <v>5717</v>
      </c>
      <c r="I262" s="30">
        <f>G262-H262</f>
        <v>91268</v>
      </c>
      <c r="J262" s="144" t="s">
        <v>365</v>
      </c>
      <c r="K262">
        <v>8</v>
      </c>
    </row>
    <row r="263">
      <c r="A263">
        <v>2019</v>
      </c>
      <c r="B263" t="s">
        <v>341</v>
      </c>
      <c r="C263" t="s">
        <v>163</v>
      </c>
      <c r="D263">
        <v>43</v>
      </c>
      <c r="E263" t="s">
        <v>13</v>
      </c>
      <c r="F263">
        <v>176688</v>
      </c>
      <c r="G263">
        <v>96985</v>
      </c>
      <c r="H263">
        <f>3152+2565</f>
        <v>5717</v>
      </c>
      <c r="I263" s="30">
        <f>G263-H263</f>
        <v>91268</v>
      </c>
      <c r="J263" s="144" t="s">
        <v>49</v>
      </c>
      <c r="K263">
        <v>6</v>
      </c>
    </row>
    <row r="264">
      <c r="A264">
        <v>2019</v>
      </c>
      <c r="B264" t="s">
        <v>341</v>
      </c>
      <c r="C264" t="s">
        <v>163</v>
      </c>
      <c r="D264">
        <v>43</v>
      </c>
      <c r="E264" t="s">
        <v>13</v>
      </c>
      <c r="F264">
        <v>176688</v>
      </c>
      <c r="G264">
        <v>96985</v>
      </c>
      <c r="H264">
        <f>3152+2565</f>
        <v>5717</v>
      </c>
      <c r="I264" s="30">
        <f>G264-H264</f>
        <v>91268</v>
      </c>
      <c r="J264" s="144" t="s">
        <v>365</v>
      </c>
      <c r="K264">
        <v>6</v>
      </c>
    </row>
    <row r="265">
      <c r="A265">
        <v>2019</v>
      </c>
      <c r="B265" t="s">
        <v>341</v>
      </c>
      <c r="C265" t="s">
        <v>163</v>
      </c>
      <c r="D265">
        <v>43</v>
      </c>
      <c r="E265" t="s">
        <v>13</v>
      </c>
      <c r="F265">
        <v>176688</v>
      </c>
      <c r="G265">
        <v>96985</v>
      </c>
      <c r="H265">
        <f>3152+2565</f>
        <v>5717</v>
      </c>
      <c r="I265" s="30">
        <f>G265-H265</f>
        <v>91268</v>
      </c>
      <c r="J265" s="144" t="s">
        <v>49</v>
      </c>
      <c r="K265">
        <v>5</v>
      </c>
    </row>
    <row r="266">
      <c r="A266">
        <v>2019</v>
      </c>
      <c r="B266" t="s">
        <v>341</v>
      </c>
      <c r="C266" t="s">
        <v>163</v>
      </c>
      <c r="D266">
        <v>43</v>
      </c>
      <c r="E266" t="s">
        <v>13</v>
      </c>
      <c r="F266">
        <v>176688</v>
      </c>
      <c r="G266">
        <v>96985</v>
      </c>
      <c r="H266">
        <f>3152+2565</f>
        <v>5717</v>
      </c>
      <c r="I266" s="30">
        <f>G266-H266</f>
        <v>91268</v>
      </c>
      <c r="J266" s="144" t="s">
        <v>49</v>
      </c>
      <c r="K266">
        <v>5</v>
      </c>
    </row>
    <row r="267">
      <c r="A267">
        <v>2019</v>
      </c>
      <c r="B267" t="s">
        <v>341</v>
      </c>
      <c r="C267" t="s">
        <v>163</v>
      </c>
      <c r="D267">
        <v>43</v>
      </c>
      <c r="E267" t="s">
        <v>13</v>
      </c>
      <c r="F267">
        <v>176688</v>
      </c>
      <c r="G267">
        <v>96985</v>
      </c>
      <c r="H267">
        <f>3152+2565</f>
        <v>5717</v>
      </c>
      <c r="I267" s="30">
        <f>G267-H267</f>
        <v>91268</v>
      </c>
      <c r="J267" s="144" t="s">
        <v>365</v>
      </c>
      <c r="K267">
        <v>1</v>
      </c>
    </row>
    <row r="268">
      <c r="A268">
        <v>2019</v>
      </c>
      <c r="B268" t="s">
        <v>341</v>
      </c>
      <c r="C268" t="s">
        <v>163</v>
      </c>
      <c r="D268">
        <v>43</v>
      </c>
      <c r="E268" t="s">
        <v>13</v>
      </c>
      <c r="F268">
        <v>176688</v>
      </c>
      <c r="G268">
        <v>96985</v>
      </c>
      <c r="H268">
        <f>3152+2565</f>
        <v>5717</v>
      </c>
      <c r="I268" s="30">
        <f>G268-H268</f>
        <v>91268</v>
      </c>
      <c r="J268" s="144" t="s">
        <v>365</v>
      </c>
      <c r="K268">
        <v>1</v>
      </c>
    </row>
    <row r="269">
      <c r="A269">
        <v>2019</v>
      </c>
      <c r="B269" t="s">
        <v>341</v>
      </c>
      <c r="C269" t="s">
        <v>163</v>
      </c>
      <c r="D269">
        <v>43</v>
      </c>
      <c r="E269" t="s">
        <v>13</v>
      </c>
      <c r="F269">
        <v>176688</v>
      </c>
      <c r="G269">
        <v>96985</v>
      </c>
      <c r="H269">
        <f>3152+2565</f>
        <v>5717</v>
      </c>
      <c r="I269" s="30">
        <f>G269-H269</f>
        <v>91268</v>
      </c>
      <c r="J269" s="144" t="s">
        <v>365</v>
      </c>
      <c r="K269">
        <v>1</v>
      </c>
    </row>
    <row r="270">
      <c r="A270">
        <v>2019</v>
      </c>
      <c r="B270" t="s">
        <v>341</v>
      </c>
      <c r="C270" t="s">
        <v>163</v>
      </c>
      <c r="D270">
        <v>43</v>
      </c>
      <c r="E270" t="s">
        <v>13</v>
      </c>
      <c r="F270">
        <v>176688</v>
      </c>
      <c r="G270">
        <v>96985</v>
      </c>
      <c r="H270">
        <f>3152+2565</f>
        <v>5717</v>
      </c>
      <c r="I270" s="30">
        <f>G270-H270</f>
        <v>91268</v>
      </c>
      <c r="J270" s="144" t="s">
        <v>365</v>
      </c>
      <c r="K270">
        <v>0</v>
      </c>
    </row>
    <row r="271">
      <c r="A271">
        <v>2019</v>
      </c>
      <c r="B271" t="s">
        <v>341</v>
      </c>
      <c r="C271" t="s">
        <v>163</v>
      </c>
      <c r="D271">
        <v>43</v>
      </c>
      <c r="E271" t="s">
        <v>13</v>
      </c>
      <c r="F271">
        <v>176688</v>
      </c>
      <c r="G271">
        <v>96985</v>
      </c>
      <c r="H271">
        <f>3152+2565</f>
        <v>5717</v>
      </c>
      <c r="I271" s="30">
        <f>G271-H271</f>
        <v>91268</v>
      </c>
      <c r="J271" s="144" t="s">
        <v>23</v>
      </c>
      <c r="K271">
        <v>0</v>
      </c>
    </row>
    <row r="272">
      <c r="A272">
        <v>2019</v>
      </c>
      <c r="B272" t="s">
        <v>341</v>
      </c>
      <c r="C272" t="s">
        <v>163</v>
      </c>
      <c r="D272">
        <v>43</v>
      </c>
      <c r="E272" t="s">
        <v>13</v>
      </c>
      <c r="F272">
        <v>176688</v>
      </c>
      <c r="G272">
        <v>96985</v>
      </c>
      <c r="H272">
        <f>3152+2565</f>
        <v>5717</v>
      </c>
      <c r="I272" s="30">
        <f>G272-H272</f>
        <v>91268</v>
      </c>
      <c r="J272" s="144" t="s">
        <v>365</v>
      </c>
      <c r="K272">
        <v>0</v>
      </c>
    </row>
    <row r="273">
      <c r="A273" s="22">
        <v>2022</v>
      </c>
      <c r="B273" s="23" t="s">
        <v>10</v>
      </c>
      <c r="C273" s="23" t="s">
        <v>12</v>
      </c>
      <c r="D273" s="23" t="s">
        <v>11</v>
      </c>
      <c r="E273" s="23" t="s">
        <v>13</v>
      </c>
      <c r="F273" s="23">
        <v>48747876</v>
      </c>
      <c r="G273" s="23">
        <v>35923707</v>
      </c>
      <c r="H273" s="23">
        <f>543609+247151</f>
        <v>790760</v>
      </c>
      <c r="I273" s="31">
        <f>G273-H273</f>
        <v>35132947</v>
      </c>
      <c r="J273" s="145" t="s">
        <v>36</v>
      </c>
      <c r="K273" s="23">
        <v>9783058</v>
      </c>
    </row>
    <row r="274">
      <c r="A274" s="25">
        <v>2022</v>
      </c>
      <c r="B274" t="s">
        <v>10</v>
      </c>
      <c r="C274" t="s">
        <v>12</v>
      </c>
      <c r="D274" t="s">
        <v>11</v>
      </c>
      <c r="E274" t="s">
        <v>13</v>
      </c>
      <c r="F274">
        <v>48747876</v>
      </c>
      <c r="G274">
        <v>35923707</v>
      </c>
      <c r="H274">
        <f>543609+247151</f>
        <v>790760</v>
      </c>
      <c r="I274" s="30">
        <f>G274-H274</f>
        <v>35132947</v>
      </c>
      <c r="J274" s="144" t="s">
        <v>37</v>
      </c>
      <c r="K274">
        <v>8133828</v>
      </c>
    </row>
    <row r="275">
      <c r="A275" s="25">
        <v>2022</v>
      </c>
      <c r="B275" t="s">
        <v>10</v>
      </c>
      <c r="C275" t="s">
        <v>12</v>
      </c>
      <c r="D275" t="s">
        <v>11</v>
      </c>
      <c r="E275" t="s">
        <v>13</v>
      </c>
      <c r="F275">
        <v>48747876</v>
      </c>
      <c r="G275">
        <v>35923707</v>
      </c>
      <c r="H275">
        <f>543609+247151</f>
        <v>790760</v>
      </c>
      <c r="I275" s="30">
        <f>G275-H275</f>
        <v>35132947</v>
      </c>
      <c r="J275" s="144" t="s">
        <v>32</v>
      </c>
      <c r="K275">
        <v>7712520</v>
      </c>
    </row>
    <row r="276">
      <c r="A276" s="25">
        <v>2022</v>
      </c>
      <c r="B276" t="s">
        <v>10</v>
      </c>
      <c r="C276" t="s">
        <v>12</v>
      </c>
      <c r="D276" t="s">
        <v>11</v>
      </c>
      <c r="E276" t="s">
        <v>13</v>
      </c>
      <c r="F276">
        <v>48747876</v>
      </c>
      <c r="G276">
        <v>35923707</v>
      </c>
      <c r="H276">
        <f>543609+247151</f>
        <v>790760</v>
      </c>
      <c r="I276" s="30">
        <f>G276-H276</f>
        <v>35132947</v>
      </c>
      <c r="J276" s="144" t="s">
        <v>39</v>
      </c>
      <c r="K276">
        <v>2485226</v>
      </c>
    </row>
    <row r="277">
      <c r="A277" s="25">
        <v>2022</v>
      </c>
      <c r="B277" t="s">
        <v>10</v>
      </c>
      <c r="C277" t="s">
        <v>12</v>
      </c>
      <c r="D277" t="s">
        <v>11</v>
      </c>
      <c r="E277" t="s">
        <v>13</v>
      </c>
      <c r="F277">
        <v>48747876</v>
      </c>
      <c r="G277">
        <v>35923707</v>
      </c>
      <c r="H277">
        <f>543609+247151</f>
        <v>790760</v>
      </c>
      <c r="I277" s="30">
        <f>G277-H277</f>
        <v>35132947</v>
      </c>
      <c r="J277" s="144" t="s">
        <v>31</v>
      </c>
      <c r="K277">
        <v>1679001</v>
      </c>
    </row>
    <row r="278">
      <c r="A278" s="25">
        <v>2022</v>
      </c>
      <c r="B278" t="s">
        <v>10</v>
      </c>
      <c r="C278" t="s">
        <v>12</v>
      </c>
      <c r="D278" t="s">
        <v>11</v>
      </c>
      <c r="E278" t="s">
        <v>13</v>
      </c>
      <c r="F278">
        <v>48747876</v>
      </c>
      <c r="G278">
        <v>35923707</v>
      </c>
      <c r="H278">
        <f>543609+247151</f>
        <v>790760</v>
      </c>
      <c r="I278" s="30">
        <f>G278-H278</f>
        <v>35132947</v>
      </c>
      <c r="J278" s="144" t="s">
        <v>14</v>
      </c>
      <c r="K278">
        <v>1627853</v>
      </c>
    </row>
    <row r="279">
      <c r="A279" s="25">
        <v>2022</v>
      </c>
      <c r="B279" t="s">
        <v>10</v>
      </c>
      <c r="C279" t="s">
        <v>12</v>
      </c>
      <c r="D279" t="s">
        <v>11</v>
      </c>
      <c r="E279" t="s">
        <v>13</v>
      </c>
      <c r="F279">
        <v>48747876</v>
      </c>
      <c r="G279">
        <v>35923707</v>
      </c>
      <c r="H279">
        <f>543609+247151</f>
        <v>790760</v>
      </c>
      <c r="I279" s="30">
        <f>G279-H279</f>
        <v>35132947</v>
      </c>
      <c r="J279" s="144" t="s">
        <v>35</v>
      </c>
      <c r="K279">
        <v>1101387</v>
      </c>
    </row>
    <row r="280">
      <c r="A280" s="25">
        <v>2022</v>
      </c>
      <c r="B280" t="s">
        <v>10</v>
      </c>
      <c r="C280" t="s">
        <v>12</v>
      </c>
      <c r="D280" t="s">
        <v>11</v>
      </c>
      <c r="E280" t="s">
        <v>13</v>
      </c>
      <c r="F280">
        <v>48747876</v>
      </c>
      <c r="G280">
        <v>35923707</v>
      </c>
      <c r="H280">
        <f>543609+247151</f>
        <v>790760</v>
      </c>
      <c r="I280" s="30">
        <f>G280-H280</f>
        <v>35132947</v>
      </c>
      <c r="J280" s="144" t="s">
        <v>40</v>
      </c>
      <c r="K280">
        <v>802422</v>
      </c>
    </row>
    <row r="281">
      <c r="A281" s="25">
        <v>2022</v>
      </c>
      <c r="B281" t="s">
        <v>10</v>
      </c>
      <c r="C281" t="s">
        <v>12</v>
      </c>
      <c r="D281" t="s">
        <v>11</v>
      </c>
      <c r="E281" t="s">
        <v>13</v>
      </c>
      <c r="F281">
        <v>48747876</v>
      </c>
      <c r="G281">
        <v>35923707</v>
      </c>
      <c r="H281">
        <f>543609+247151</f>
        <v>790760</v>
      </c>
      <c r="I281" s="30">
        <f>G281-H281</f>
        <v>35132947</v>
      </c>
      <c r="J281" s="144" t="s">
        <v>34</v>
      </c>
      <c r="K281">
        <v>725176</v>
      </c>
    </row>
    <row r="282">
      <c r="A282" s="25">
        <v>2022</v>
      </c>
      <c r="B282" t="s">
        <v>10</v>
      </c>
      <c r="C282" t="s">
        <v>12</v>
      </c>
      <c r="D282" t="s">
        <v>11</v>
      </c>
      <c r="E282" t="s">
        <v>13</v>
      </c>
      <c r="F282">
        <v>48747876</v>
      </c>
      <c r="G282">
        <v>35923707</v>
      </c>
      <c r="H282">
        <f>543609+247151</f>
        <v>790760</v>
      </c>
      <c r="I282" s="30">
        <f>G282-H282</f>
        <v>35132947</v>
      </c>
      <c r="J282" s="144" t="s">
        <v>33</v>
      </c>
      <c r="K282">
        <v>616478</v>
      </c>
    </row>
    <row r="283">
      <c r="A283" s="25">
        <v>2022</v>
      </c>
      <c r="B283" t="s">
        <v>10</v>
      </c>
      <c r="C283" t="s">
        <v>12</v>
      </c>
      <c r="D283" t="s">
        <v>11</v>
      </c>
      <c r="E283" t="s">
        <v>13</v>
      </c>
      <c r="F283">
        <v>48747876</v>
      </c>
      <c r="G283">
        <v>35923707</v>
      </c>
      <c r="H283">
        <f>543609+247151</f>
        <v>790760</v>
      </c>
      <c r="I283" s="30">
        <f>G283-H283</f>
        <v>35132947</v>
      </c>
      <c r="J283" s="144" t="s">
        <v>23</v>
      </c>
      <c r="K283">
        <v>268904</v>
      </c>
    </row>
    <row r="284">
      <c r="A284" s="27">
        <v>2022</v>
      </c>
      <c r="B284" s="28" t="s">
        <v>10</v>
      </c>
      <c r="C284" s="28" t="s">
        <v>12</v>
      </c>
      <c r="D284" s="28" t="s">
        <v>11</v>
      </c>
      <c r="E284" s="28" t="s">
        <v>13</v>
      </c>
      <c r="F284" s="28">
        <v>48747876</v>
      </c>
      <c r="G284" s="28">
        <v>35923707</v>
      </c>
      <c r="H284" s="28">
        <f>543609+247151</f>
        <v>790760</v>
      </c>
      <c r="I284" s="32">
        <f>G284-H284</f>
        <v>35132947</v>
      </c>
      <c r="J284" s="146" t="s">
        <v>23</v>
      </c>
      <c r="K284" s="28">
        <v>197094</v>
      </c>
    </row>
    <row r="285">
      <c r="A285" s="22">
        <v>2022</v>
      </c>
      <c r="B285" s="23" t="s">
        <v>10</v>
      </c>
      <c r="C285" s="23" t="s">
        <v>12</v>
      </c>
      <c r="D285" s="23" t="s">
        <v>11</v>
      </c>
      <c r="E285" s="23" t="s">
        <v>19</v>
      </c>
      <c r="F285" s="23">
        <v>48752339</v>
      </c>
      <c r="G285" s="23">
        <v>35096478</v>
      </c>
      <c r="H285" s="23">
        <f>2233904+2233904</f>
        <v>4467808</v>
      </c>
      <c r="I285" s="31">
        <f>G285-H285</f>
        <v>30628670</v>
      </c>
      <c r="J285" s="145" t="s">
        <v>36</v>
      </c>
      <c r="K285" s="23">
        <v>18768639</v>
      </c>
    </row>
    <row r="286">
      <c r="A286" s="27">
        <v>2022</v>
      </c>
      <c r="B286" s="28" t="s">
        <v>10</v>
      </c>
      <c r="C286" s="28" t="s">
        <v>12</v>
      </c>
      <c r="D286" s="28" t="s">
        <v>11</v>
      </c>
      <c r="E286" s="28" t="s">
        <v>19</v>
      </c>
      <c r="F286" s="28">
        <v>48752339</v>
      </c>
      <c r="G286" s="28">
        <v>35096478</v>
      </c>
      <c r="H286" s="28">
        <f>2233904+2233904</f>
        <v>4467808</v>
      </c>
      <c r="I286" s="32">
        <f>G286-H286</f>
        <v>30628670</v>
      </c>
      <c r="J286" s="146" t="s">
        <v>37</v>
      </c>
      <c r="K286" s="28">
        <v>13288686</v>
      </c>
    </row>
    <row r="287">
      <c r="A287" s="22">
        <v>2022</v>
      </c>
      <c r="B287" s="23" t="s">
        <v>10</v>
      </c>
      <c r="C287" s="23" t="s">
        <v>163</v>
      </c>
      <c r="D287" s="23">
        <v>43</v>
      </c>
      <c r="E287" s="23" t="s">
        <v>13</v>
      </c>
      <c r="F287" s="23">
        <v>180706</v>
      </c>
      <c r="G287" s="23">
        <v>143706</v>
      </c>
      <c r="H287" s="23">
        <f>2837+1214</f>
        <v>4051</v>
      </c>
      <c r="I287" s="31">
        <f>G287-H287</f>
        <v>139655</v>
      </c>
      <c r="J287" s="145" t="s">
        <v>37</v>
      </c>
      <c r="K287" s="23">
        <v>38629</v>
      </c>
    </row>
    <row r="288">
      <c r="A288" s="25">
        <v>2022</v>
      </c>
      <c r="B288" t="s">
        <v>10</v>
      </c>
      <c r="C288" t="s">
        <v>163</v>
      </c>
      <c r="D288">
        <v>43</v>
      </c>
      <c r="E288" t="s">
        <v>13</v>
      </c>
      <c r="F288">
        <v>180706</v>
      </c>
      <c r="G288">
        <v>143706</v>
      </c>
      <c r="H288">
        <f>2837+1214</f>
        <v>4051</v>
      </c>
      <c r="I288" s="30">
        <f>G288-H288</f>
        <v>139655</v>
      </c>
      <c r="J288" s="144" t="s">
        <v>36</v>
      </c>
      <c r="K288">
        <v>32417</v>
      </c>
    </row>
    <row r="289">
      <c r="A289" s="25">
        <v>2022</v>
      </c>
      <c r="B289" t="s">
        <v>10</v>
      </c>
      <c r="C289" t="s">
        <v>163</v>
      </c>
      <c r="D289">
        <v>43</v>
      </c>
      <c r="E289" t="s">
        <v>13</v>
      </c>
      <c r="F289">
        <v>180706</v>
      </c>
      <c r="G289">
        <v>143706</v>
      </c>
      <c r="H289">
        <f>2837+1214</f>
        <v>4051</v>
      </c>
      <c r="I289" s="30">
        <f>G289-H289</f>
        <v>139655</v>
      </c>
      <c r="J289" s="144" t="s">
        <v>32</v>
      </c>
      <c r="K289">
        <v>24332</v>
      </c>
    </row>
    <row r="290">
      <c r="A290" s="25">
        <v>2022</v>
      </c>
      <c r="B290" t="s">
        <v>10</v>
      </c>
      <c r="C290" t="s">
        <v>163</v>
      </c>
      <c r="D290">
        <v>43</v>
      </c>
      <c r="E290" t="s">
        <v>13</v>
      </c>
      <c r="F290">
        <v>180706</v>
      </c>
      <c r="G290">
        <v>143706</v>
      </c>
      <c r="H290">
        <f>2837+1214</f>
        <v>4051</v>
      </c>
      <c r="I290" s="30">
        <f>G290-H290</f>
        <v>139655</v>
      </c>
      <c r="J290" s="144" t="s">
        <v>31</v>
      </c>
      <c r="K290">
        <v>9560</v>
      </c>
    </row>
    <row r="291">
      <c r="A291" s="25">
        <v>2022</v>
      </c>
      <c r="B291" t="s">
        <v>10</v>
      </c>
      <c r="C291" t="s">
        <v>163</v>
      </c>
      <c r="D291">
        <v>43</v>
      </c>
      <c r="E291" t="s">
        <v>13</v>
      </c>
      <c r="F291">
        <v>180706</v>
      </c>
      <c r="G291">
        <v>143706</v>
      </c>
      <c r="H291">
        <f>2837+1214</f>
        <v>4051</v>
      </c>
      <c r="I291" s="30">
        <f>G291-H291</f>
        <v>139655</v>
      </c>
      <c r="J291" s="144" t="s">
        <v>39</v>
      </c>
      <c r="K291">
        <v>9529</v>
      </c>
    </row>
    <row r="292">
      <c r="A292" s="25">
        <v>2022</v>
      </c>
      <c r="B292" t="s">
        <v>10</v>
      </c>
      <c r="C292" t="s">
        <v>163</v>
      </c>
      <c r="D292">
        <v>43</v>
      </c>
      <c r="E292" t="s">
        <v>13</v>
      </c>
      <c r="F292">
        <v>180706</v>
      </c>
      <c r="G292">
        <v>143706</v>
      </c>
      <c r="H292">
        <f>2837+1214</f>
        <v>4051</v>
      </c>
      <c r="I292" s="30">
        <f>G292-H292</f>
        <v>139655</v>
      </c>
      <c r="J292" s="144" t="s">
        <v>35</v>
      </c>
      <c r="K292">
        <v>7817</v>
      </c>
    </row>
    <row r="293">
      <c r="A293" s="25">
        <v>2022</v>
      </c>
      <c r="B293" t="s">
        <v>10</v>
      </c>
      <c r="C293" t="s">
        <v>163</v>
      </c>
      <c r="D293">
        <v>43</v>
      </c>
      <c r="E293" t="s">
        <v>13</v>
      </c>
      <c r="F293">
        <v>180706</v>
      </c>
      <c r="G293">
        <v>143706</v>
      </c>
      <c r="H293">
        <f>2837+1214</f>
        <v>4051</v>
      </c>
      <c r="I293" s="30">
        <f>G293-H293</f>
        <v>139655</v>
      </c>
      <c r="J293" s="144" t="s">
        <v>14</v>
      </c>
      <c r="K293">
        <v>5796</v>
      </c>
    </row>
    <row r="294">
      <c r="A294" s="25">
        <v>2022</v>
      </c>
      <c r="B294" t="s">
        <v>10</v>
      </c>
      <c r="C294" t="s">
        <v>163</v>
      </c>
      <c r="D294">
        <v>43</v>
      </c>
      <c r="E294" t="s">
        <v>13</v>
      </c>
      <c r="F294">
        <v>180706</v>
      </c>
      <c r="G294">
        <v>143706</v>
      </c>
      <c r="H294">
        <f>2837+1214</f>
        <v>4051</v>
      </c>
      <c r="I294" s="30">
        <f>G294-H294</f>
        <v>139655</v>
      </c>
      <c r="J294" s="144" t="s">
        <v>40</v>
      </c>
      <c r="K294">
        <v>3493</v>
      </c>
    </row>
    <row r="295">
      <c r="A295" s="25">
        <v>2022</v>
      </c>
      <c r="B295" t="s">
        <v>10</v>
      </c>
      <c r="C295" t="s">
        <v>163</v>
      </c>
      <c r="D295">
        <v>43</v>
      </c>
      <c r="E295" t="s">
        <v>13</v>
      </c>
      <c r="F295">
        <v>180706</v>
      </c>
      <c r="G295">
        <v>143706</v>
      </c>
      <c r="H295">
        <f>2837+1214</f>
        <v>4051</v>
      </c>
      <c r="I295" s="30">
        <f>G295-H295</f>
        <v>139655</v>
      </c>
      <c r="J295" s="144" t="s">
        <v>34</v>
      </c>
      <c r="K295">
        <v>3366</v>
      </c>
    </row>
    <row r="296">
      <c r="A296" s="25">
        <v>2022</v>
      </c>
      <c r="B296" t="s">
        <v>10</v>
      </c>
      <c r="C296" t="s">
        <v>163</v>
      </c>
      <c r="D296">
        <v>43</v>
      </c>
      <c r="E296" t="s">
        <v>13</v>
      </c>
      <c r="F296">
        <v>180706</v>
      </c>
      <c r="G296">
        <v>143706</v>
      </c>
      <c r="H296">
        <f>2837+1214</f>
        <v>4051</v>
      </c>
      <c r="I296" s="30">
        <f>G296-H296</f>
        <v>139655</v>
      </c>
      <c r="J296" s="144" t="s">
        <v>33</v>
      </c>
      <c r="K296">
        <v>2491</v>
      </c>
    </row>
    <row r="297">
      <c r="A297" s="25">
        <v>2022</v>
      </c>
      <c r="B297" t="s">
        <v>10</v>
      </c>
      <c r="C297" t="s">
        <v>163</v>
      </c>
      <c r="D297">
        <v>43</v>
      </c>
      <c r="E297" t="s">
        <v>13</v>
      </c>
      <c r="F297">
        <v>180706</v>
      </c>
      <c r="G297">
        <v>143706</v>
      </c>
      <c r="H297">
        <f>2837+1214</f>
        <v>4051</v>
      </c>
      <c r="I297" s="30">
        <f>G297-H297</f>
        <v>139655</v>
      </c>
      <c r="J297" s="144" t="s">
        <v>23</v>
      </c>
      <c r="K297">
        <v>1205</v>
      </c>
    </row>
    <row r="298">
      <c r="A298" s="27">
        <v>2022</v>
      </c>
      <c r="B298" s="28" t="s">
        <v>10</v>
      </c>
      <c r="C298" s="28" t="s">
        <v>163</v>
      </c>
      <c r="D298" s="28">
        <v>43</v>
      </c>
      <c r="E298" s="28" t="s">
        <v>13</v>
      </c>
      <c r="F298" s="28">
        <v>180706</v>
      </c>
      <c r="G298" s="28">
        <v>143706</v>
      </c>
      <c r="H298" s="28">
        <f>2837+1214</f>
        <v>4051</v>
      </c>
      <c r="I298" s="32">
        <f>G298-H298</f>
        <v>139655</v>
      </c>
      <c r="J298" s="146" t="s">
        <v>23</v>
      </c>
      <c r="K298" s="28">
        <v>1020</v>
      </c>
    </row>
    <row r="299">
      <c r="A299" s="22">
        <v>2022</v>
      </c>
      <c r="B299" s="23" t="s">
        <v>10</v>
      </c>
      <c r="C299" s="23" t="s">
        <v>163</v>
      </c>
      <c r="D299" s="23">
        <v>43</v>
      </c>
      <c r="E299" s="23" t="s">
        <v>19</v>
      </c>
      <c r="F299" s="23">
        <v>180716</v>
      </c>
      <c r="G299" s="23">
        <v>139577</v>
      </c>
      <c r="H299" s="23">
        <f>10937+4288</f>
        <v>15225</v>
      </c>
      <c r="I299" s="31">
        <f>G299-H299</f>
        <v>124352</v>
      </c>
      <c r="J299" s="145" t="s">
        <v>36</v>
      </c>
      <c r="K299" s="23">
        <v>62372</v>
      </c>
    </row>
    <row r="300">
      <c r="A300" s="27">
        <v>2022</v>
      </c>
      <c r="B300" s="28" t="s">
        <v>10</v>
      </c>
      <c r="C300" s="28" t="s">
        <v>163</v>
      </c>
      <c r="D300" s="28">
        <v>43</v>
      </c>
      <c r="E300" s="28" t="s">
        <v>19</v>
      </c>
      <c r="F300" s="28">
        <v>180716</v>
      </c>
      <c r="G300" s="28">
        <v>139577</v>
      </c>
      <c r="H300" s="28">
        <f>10937+4288</f>
        <v>15225</v>
      </c>
      <c r="I300" s="32">
        <f>G300-H300</f>
        <v>124352</v>
      </c>
      <c r="J300" s="146" t="s">
        <v>37</v>
      </c>
      <c r="K300" s="28">
        <v>61980</v>
      </c>
    </row>
    <row r="301">
      <c r="A301" s="22">
        <v>2022</v>
      </c>
      <c r="B301" s="23" t="s">
        <v>164</v>
      </c>
      <c r="C301" s="23" t="s">
        <v>12</v>
      </c>
      <c r="D301" s="23" t="s">
        <v>11</v>
      </c>
      <c r="E301" s="23" t="s">
        <v>13</v>
      </c>
      <c r="F301" s="23">
        <v>48953748</v>
      </c>
      <c r="G301" s="23">
        <v>23256207</v>
      </c>
      <c r="H301" s="23">
        <f>362193+149306</f>
        <v>511499</v>
      </c>
      <c r="I301" s="31">
        <f>G301-H301</f>
        <v>22744708</v>
      </c>
      <c r="J301" s="145" t="s">
        <v>98</v>
      </c>
      <c r="K301" s="23">
        <v>266412</v>
      </c>
    </row>
    <row r="302">
      <c r="A302" s="25">
        <v>2022</v>
      </c>
      <c r="B302" t="s">
        <v>164</v>
      </c>
      <c r="C302" t="s">
        <v>12</v>
      </c>
      <c r="D302" t="s">
        <v>11</v>
      </c>
      <c r="E302" t="s">
        <v>13</v>
      </c>
      <c r="F302">
        <v>48953748</v>
      </c>
      <c r="G302">
        <v>23256207</v>
      </c>
      <c r="H302">
        <f>362193+149306</f>
        <v>511499</v>
      </c>
      <c r="I302" s="30">
        <f>G302-H302</f>
        <v>22744708</v>
      </c>
      <c r="J302" s="144" t="s">
        <v>50</v>
      </c>
      <c r="K302">
        <v>126689</v>
      </c>
    </row>
    <row r="303">
      <c r="A303" s="25">
        <v>2022</v>
      </c>
      <c r="B303" t="s">
        <v>164</v>
      </c>
      <c r="C303" t="s">
        <v>12</v>
      </c>
      <c r="D303" t="s">
        <v>11</v>
      </c>
      <c r="E303" t="s">
        <v>13</v>
      </c>
      <c r="F303">
        <v>48953748</v>
      </c>
      <c r="G303">
        <v>23256207</v>
      </c>
      <c r="H303">
        <f>362193+149306</f>
        <v>511499</v>
      </c>
      <c r="I303" s="30">
        <f>G303-H303</f>
        <v>22744708</v>
      </c>
      <c r="J303" s="144" t="s">
        <v>99</v>
      </c>
      <c r="K303">
        <v>5836079</v>
      </c>
    </row>
    <row r="304">
      <c r="A304" s="25">
        <v>2022</v>
      </c>
      <c r="B304" t="s">
        <v>164</v>
      </c>
      <c r="C304" t="s">
        <v>12</v>
      </c>
      <c r="D304" t="s">
        <v>11</v>
      </c>
      <c r="E304" t="s">
        <v>13</v>
      </c>
      <c r="F304">
        <v>48953748</v>
      </c>
      <c r="G304">
        <v>23256207</v>
      </c>
      <c r="H304">
        <f>362193+149306</f>
        <v>511499</v>
      </c>
      <c r="I304" s="30">
        <f>G304-H304</f>
        <v>22744708</v>
      </c>
      <c r="J304" s="144" t="s">
        <v>43</v>
      </c>
      <c r="K304">
        <v>713574</v>
      </c>
    </row>
    <row r="305">
      <c r="A305" s="25">
        <v>2022</v>
      </c>
      <c r="B305" t="s">
        <v>164</v>
      </c>
      <c r="C305" t="s">
        <v>12</v>
      </c>
      <c r="D305" t="s">
        <v>11</v>
      </c>
      <c r="E305" t="s">
        <v>13</v>
      </c>
      <c r="F305">
        <v>48953748</v>
      </c>
      <c r="G305">
        <v>23256207</v>
      </c>
      <c r="H305">
        <f>362193+149306</f>
        <v>511499</v>
      </c>
      <c r="I305" s="30">
        <f>G305-H305</f>
        <v>22744708</v>
      </c>
      <c r="J305" s="144" t="s">
        <v>14</v>
      </c>
      <c r="K305">
        <v>608314</v>
      </c>
    </row>
    <row r="306">
      <c r="A306" s="25">
        <v>2022</v>
      </c>
      <c r="B306" t="s">
        <v>164</v>
      </c>
      <c r="C306" t="s">
        <v>12</v>
      </c>
      <c r="D306" t="s">
        <v>11</v>
      </c>
      <c r="E306" t="s">
        <v>13</v>
      </c>
      <c r="F306">
        <v>48953748</v>
      </c>
      <c r="G306">
        <v>23256207</v>
      </c>
      <c r="H306">
        <f>362193+149306</f>
        <v>511499</v>
      </c>
      <c r="I306" s="30">
        <f>G306-H306</f>
        <v>22744708</v>
      </c>
      <c r="J306" s="144" t="s">
        <v>35</v>
      </c>
      <c r="K306">
        <v>192624</v>
      </c>
    </row>
    <row r="307">
      <c r="A307" s="25">
        <v>2022</v>
      </c>
      <c r="B307" t="s">
        <v>164</v>
      </c>
      <c r="C307" t="s">
        <v>12</v>
      </c>
      <c r="D307" t="s">
        <v>11</v>
      </c>
      <c r="E307" t="s">
        <v>13</v>
      </c>
      <c r="F307">
        <v>48953748</v>
      </c>
      <c r="G307">
        <v>23256207</v>
      </c>
      <c r="H307">
        <f>362193+149306</f>
        <v>511499</v>
      </c>
      <c r="I307" s="30">
        <f>G307-H307</f>
        <v>22744708</v>
      </c>
      <c r="J307" s="144" t="s">
        <v>45</v>
      </c>
      <c r="K307">
        <v>291384</v>
      </c>
    </row>
    <row r="308">
      <c r="A308" s="25">
        <v>2022</v>
      </c>
      <c r="B308" t="s">
        <v>164</v>
      </c>
      <c r="C308" t="s">
        <v>12</v>
      </c>
      <c r="D308" t="s">
        <v>11</v>
      </c>
      <c r="E308" t="s">
        <v>13</v>
      </c>
      <c r="F308">
        <v>48953748</v>
      </c>
      <c r="G308">
        <v>23256207</v>
      </c>
      <c r="H308">
        <f>362193+149306</f>
        <v>511499</v>
      </c>
      <c r="I308" s="30">
        <f>G308-H308</f>
        <v>22744708</v>
      </c>
      <c r="J308" s="144" t="s">
        <v>36</v>
      </c>
      <c r="K308">
        <v>5857364</v>
      </c>
    </row>
    <row r="309">
      <c r="A309" s="25">
        <v>2022</v>
      </c>
      <c r="B309" t="s">
        <v>164</v>
      </c>
      <c r="C309" t="s">
        <v>12</v>
      </c>
      <c r="D309" t="s">
        <v>11</v>
      </c>
      <c r="E309" t="s">
        <v>13</v>
      </c>
      <c r="F309">
        <v>48953748</v>
      </c>
      <c r="G309">
        <v>23256207</v>
      </c>
      <c r="H309">
        <f>362193+149306</f>
        <v>511499</v>
      </c>
      <c r="I309" s="30">
        <f>G309-H309</f>
        <v>22744708</v>
      </c>
      <c r="J309" s="144" t="s">
        <v>44</v>
      </c>
      <c r="K309">
        <v>283612</v>
      </c>
    </row>
    <row r="310">
      <c r="A310" s="25">
        <v>2022</v>
      </c>
      <c r="B310" t="s">
        <v>164</v>
      </c>
      <c r="C310" t="s">
        <v>12</v>
      </c>
      <c r="D310" t="s">
        <v>11</v>
      </c>
      <c r="E310" t="s">
        <v>13</v>
      </c>
      <c r="F310">
        <v>48953748</v>
      </c>
      <c r="G310">
        <v>23256207</v>
      </c>
      <c r="H310">
        <f>362193+149306</f>
        <v>511499</v>
      </c>
      <c r="I310" s="30">
        <f>G310-H310</f>
        <v>22744708</v>
      </c>
      <c r="J310" s="144" t="s">
        <v>47</v>
      </c>
      <c r="K310">
        <v>198062</v>
      </c>
    </row>
    <row r="311">
      <c r="A311" s="25">
        <v>2022</v>
      </c>
      <c r="B311" t="s">
        <v>164</v>
      </c>
      <c r="C311" t="s">
        <v>12</v>
      </c>
      <c r="D311" t="s">
        <v>11</v>
      </c>
      <c r="E311" t="s">
        <v>13</v>
      </c>
      <c r="F311">
        <v>48953748</v>
      </c>
      <c r="G311">
        <v>23256207</v>
      </c>
      <c r="H311">
        <f>362193+149306</f>
        <v>511499</v>
      </c>
      <c r="I311" s="30">
        <f>G311-H311</f>
        <v>22744708</v>
      </c>
      <c r="J311" s="144" t="s">
        <v>31</v>
      </c>
      <c r="K311">
        <v>2370440</v>
      </c>
    </row>
    <row r="312">
      <c r="A312" s="25">
        <v>2022</v>
      </c>
      <c r="B312" t="s">
        <v>164</v>
      </c>
      <c r="C312" t="s">
        <v>12</v>
      </c>
      <c r="D312" t="s">
        <v>11</v>
      </c>
      <c r="E312" t="s">
        <v>13</v>
      </c>
      <c r="F312">
        <v>48953748</v>
      </c>
      <c r="G312">
        <v>23256207</v>
      </c>
      <c r="H312">
        <f>362193+149306</f>
        <v>511499</v>
      </c>
      <c r="I312" s="30">
        <f>G312-H312</f>
        <v>22744708</v>
      </c>
      <c r="J312" s="144" t="s">
        <v>26</v>
      </c>
      <c r="K312">
        <v>530782</v>
      </c>
    </row>
    <row r="313">
      <c r="A313" s="25">
        <v>2022</v>
      </c>
      <c r="B313" t="s">
        <v>164</v>
      </c>
      <c r="C313" t="s">
        <v>12</v>
      </c>
      <c r="D313" t="s">
        <v>11</v>
      </c>
      <c r="E313" t="s">
        <v>13</v>
      </c>
      <c r="F313">
        <v>48953748</v>
      </c>
      <c r="G313">
        <v>23256207</v>
      </c>
      <c r="H313">
        <f>362193+149306</f>
        <v>511499</v>
      </c>
      <c r="I313" s="30">
        <f>G313-H313</f>
        <v>22744708</v>
      </c>
      <c r="J313" s="144" t="s">
        <v>48</v>
      </c>
      <c r="K313">
        <v>249603</v>
      </c>
    </row>
    <row r="314">
      <c r="A314" s="25">
        <v>2022</v>
      </c>
      <c r="B314" t="s">
        <v>164</v>
      </c>
      <c r="C314" t="s">
        <v>12</v>
      </c>
      <c r="D314" t="s">
        <v>11</v>
      </c>
      <c r="E314" t="s">
        <v>13</v>
      </c>
      <c r="F314">
        <v>48953748</v>
      </c>
      <c r="G314">
        <v>23256207</v>
      </c>
      <c r="H314">
        <f>362193+149306</f>
        <v>511499</v>
      </c>
      <c r="I314" s="30">
        <f>G314-H314</f>
        <v>22744708</v>
      </c>
      <c r="J314" s="144" t="s">
        <v>39</v>
      </c>
      <c r="K314">
        <v>964775</v>
      </c>
    </row>
    <row r="315">
      <c r="A315" s="25">
        <v>2022</v>
      </c>
      <c r="B315" t="s">
        <v>164</v>
      </c>
      <c r="C315" t="s">
        <v>12</v>
      </c>
      <c r="D315" t="s">
        <v>11</v>
      </c>
      <c r="E315" t="s">
        <v>13</v>
      </c>
      <c r="F315">
        <v>48953748</v>
      </c>
      <c r="G315">
        <v>23256207</v>
      </c>
      <c r="H315">
        <f>362193+149306</f>
        <v>511499</v>
      </c>
      <c r="I315" s="30">
        <f>G315-H315</f>
        <v>22744708</v>
      </c>
      <c r="J315" s="144" t="s">
        <v>37</v>
      </c>
      <c r="K315">
        <v>4248537</v>
      </c>
    </row>
    <row r="316">
      <c r="A316" s="27">
        <v>2022</v>
      </c>
      <c r="B316" s="28" t="s">
        <v>164</v>
      </c>
      <c r="C316" s="28" t="s">
        <v>12</v>
      </c>
      <c r="D316" s="28" t="s">
        <v>11</v>
      </c>
      <c r="E316" s="28" t="s">
        <v>13</v>
      </c>
      <c r="F316" s="28">
        <v>48953748</v>
      </c>
      <c r="G316" s="28">
        <v>23256207</v>
      </c>
      <c r="H316" s="28">
        <f>362193+149306</f>
        <v>511499</v>
      </c>
      <c r="I316" s="32">
        <f>G316-H316</f>
        <v>22744708</v>
      </c>
      <c r="J316" s="146" t="s">
        <v>100</v>
      </c>
      <c r="K316" s="28">
        <v>6457</v>
      </c>
    </row>
    <row r="317">
      <c r="A317" s="22">
        <v>2022</v>
      </c>
      <c r="B317" s="23" t="s">
        <v>164</v>
      </c>
      <c r="C317" s="23" t="s">
        <v>12</v>
      </c>
      <c r="D317" s="23" t="s">
        <v>11</v>
      </c>
      <c r="E317" s="23" t="s">
        <v>19</v>
      </c>
      <c r="F317" s="23">
        <v>48589606</v>
      </c>
      <c r="G317" s="23">
        <v>22464299</v>
      </c>
      <c r="H317" s="23">
        <f>1239928+477288</f>
        <v>1717216</v>
      </c>
      <c r="I317" s="31">
        <f>G317-H317</f>
        <v>20747083</v>
      </c>
      <c r="J317" s="145" t="s">
        <v>98</v>
      </c>
      <c r="K317" s="23">
        <v>11229</v>
      </c>
    </row>
    <row r="318">
      <c r="A318" s="25">
        <v>2022</v>
      </c>
      <c r="B318" t="s">
        <v>164</v>
      </c>
      <c r="C318" t="s">
        <v>12</v>
      </c>
      <c r="D318" t="s">
        <v>11</v>
      </c>
      <c r="E318" t="s">
        <v>19</v>
      </c>
      <c r="F318">
        <v>48589606</v>
      </c>
      <c r="G318">
        <v>22464299</v>
      </c>
      <c r="H318">
        <f>1239928+477288</f>
        <v>1717216</v>
      </c>
      <c r="I318" s="30">
        <f>G318-H318</f>
        <v>20747083</v>
      </c>
      <c r="J318" s="144" t="s">
        <v>99</v>
      </c>
      <c r="K318">
        <v>6555984</v>
      </c>
    </row>
    <row r="319">
      <c r="A319" s="25">
        <v>2022</v>
      </c>
      <c r="B319" t="s">
        <v>164</v>
      </c>
      <c r="C319" t="s">
        <v>12</v>
      </c>
      <c r="D319" t="s">
        <v>11</v>
      </c>
      <c r="E319" t="s">
        <v>19</v>
      </c>
      <c r="F319">
        <v>48589606</v>
      </c>
      <c r="G319">
        <v>22464299</v>
      </c>
      <c r="H319">
        <f>1239928+477288</f>
        <v>1717216</v>
      </c>
      <c r="I319" s="30">
        <f>G319-H319</f>
        <v>20747083</v>
      </c>
      <c r="J319" s="144" t="s">
        <v>43</v>
      </c>
      <c r="K319">
        <v>443274</v>
      </c>
    </row>
    <row r="320">
      <c r="A320" s="25">
        <v>2022</v>
      </c>
      <c r="B320" t="s">
        <v>164</v>
      </c>
      <c r="C320" t="s">
        <v>12</v>
      </c>
      <c r="D320" t="s">
        <v>11</v>
      </c>
      <c r="E320" t="s">
        <v>19</v>
      </c>
      <c r="F320">
        <v>48589606</v>
      </c>
      <c r="G320">
        <v>22464299</v>
      </c>
      <c r="H320">
        <f>1239928+477288</f>
        <v>1717216</v>
      </c>
      <c r="I320" s="30">
        <f>G320-H320</f>
        <v>20747083</v>
      </c>
      <c r="J320" s="144" t="s">
        <v>35</v>
      </c>
      <c r="K320">
        <v>18296</v>
      </c>
    </row>
    <row r="321">
      <c r="A321" s="25">
        <v>2022</v>
      </c>
      <c r="B321" t="s">
        <v>164</v>
      </c>
      <c r="C321" t="s">
        <v>12</v>
      </c>
      <c r="D321" t="s">
        <v>11</v>
      </c>
      <c r="E321" t="s">
        <v>19</v>
      </c>
      <c r="F321">
        <v>48589606</v>
      </c>
      <c r="G321">
        <v>22464299</v>
      </c>
      <c r="H321">
        <f>1239928+477288</f>
        <v>1717216</v>
      </c>
      <c r="I321" s="30">
        <f>G321-H321</f>
        <v>20747083</v>
      </c>
      <c r="J321" s="144" t="s">
        <v>45</v>
      </c>
      <c r="K321">
        <v>264802</v>
      </c>
    </row>
    <row r="322">
      <c r="A322" s="25">
        <v>2022</v>
      </c>
      <c r="B322" t="s">
        <v>164</v>
      </c>
      <c r="C322" t="s">
        <v>12</v>
      </c>
      <c r="D322" t="s">
        <v>11</v>
      </c>
      <c r="E322" t="s">
        <v>19</v>
      </c>
      <c r="F322">
        <v>48589606</v>
      </c>
      <c r="G322">
        <v>22464299</v>
      </c>
      <c r="H322">
        <f>1239928+477288</f>
        <v>1717216</v>
      </c>
      <c r="I322" s="30">
        <f>G322-H322</f>
        <v>20747083</v>
      </c>
      <c r="J322" s="144" t="s">
        <v>36</v>
      </c>
      <c r="K322">
        <v>8002407</v>
      </c>
    </row>
    <row r="323">
      <c r="A323" s="25">
        <v>2022</v>
      </c>
      <c r="B323" t="s">
        <v>164</v>
      </c>
      <c r="C323" t="s">
        <v>12</v>
      </c>
      <c r="D323" t="s">
        <v>11</v>
      </c>
      <c r="E323" t="s">
        <v>19</v>
      </c>
      <c r="F323">
        <v>48589606</v>
      </c>
      <c r="G323">
        <v>22464299</v>
      </c>
      <c r="H323">
        <f>1239928+477288</f>
        <v>1717216</v>
      </c>
      <c r="I323" s="30">
        <f>G323-H323</f>
        <v>20747083</v>
      </c>
      <c r="J323" s="144" t="s">
        <v>44</v>
      </c>
      <c r="K323">
        <v>99122</v>
      </c>
    </row>
    <row r="324">
      <c r="A324" s="25">
        <v>2022</v>
      </c>
      <c r="B324" t="s">
        <v>164</v>
      </c>
      <c r="C324" t="s">
        <v>12</v>
      </c>
      <c r="D324" t="s">
        <v>11</v>
      </c>
      <c r="E324" t="s">
        <v>19</v>
      </c>
      <c r="F324">
        <v>48589606</v>
      </c>
      <c r="G324">
        <v>22464299</v>
      </c>
      <c r="H324">
        <f>1239928+477288</f>
        <v>1717216</v>
      </c>
      <c r="I324" s="30">
        <f>G324-H324</f>
        <v>20747083</v>
      </c>
      <c r="J324" s="144" t="s">
        <v>47</v>
      </c>
      <c r="K324">
        <v>64444</v>
      </c>
    </row>
    <row r="325">
      <c r="A325" s="25">
        <v>2022</v>
      </c>
      <c r="B325" t="s">
        <v>164</v>
      </c>
      <c r="C325" t="s">
        <v>12</v>
      </c>
      <c r="D325" t="s">
        <v>11</v>
      </c>
      <c r="E325" t="s">
        <v>19</v>
      </c>
      <c r="F325">
        <v>48589606</v>
      </c>
      <c r="G325">
        <v>22464299</v>
      </c>
      <c r="H325">
        <f>1239928+477288</f>
        <v>1717216</v>
      </c>
      <c r="I325" s="30">
        <f>G325-H325</f>
        <v>20747083</v>
      </c>
      <c r="J325" s="144" t="s">
        <v>31</v>
      </c>
      <c r="K325">
        <v>1447877</v>
      </c>
    </row>
    <row r="326">
      <c r="A326" s="25">
        <v>2022</v>
      </c>
      <c r="B326" t="s">
        <v>164</v>
      </c>
      <c r="C326" t="s">
        <v>12</v>
      </c>
      <c r="D326" t="s">
        <v>11</v>
      </c>
      <c r="E326" t="s">
        <v>19</v>
      </c>
      <c r="F326">
        <v>48589606</v>
      </c>
      <c r="G326">
        <v>22464299</v>
      </c>
      <c r="H326">
        <f>1239928+477288</f>
        <v>1717216</v>
      </c>
      <c r="I326" s="30">
        <f>G326-H326</f>
        <v>20747083</v>
      </c>
      <c r="J326" s="144" t="s">
        <v>26</v>
      </c>
      <c r="K326">
        <v>231073</v>
      </c>
    </row>
    <row r="327">
      <c r="A327" s="25">
        <v>2022</v>
      </c>
      <c r="B327" t="s">
        <v>164</v>
      </c>
      <c r="C327" t="s">
        <v>12</v>
      </c>
      <c r="D327" t="s">
        <v>11</v>
      </c>
      <c r="E327" t="s">
        <v>19</v>
      </c>
      <c r="F327">
        <v>48589606</v>
      </c>
      <c r="G327">
        <v>22464299</v>
      </c>
      <c r="H327">
        <f>1239928+477288</f>
        <v>1717216</v>
      </c>
      <c r="I327" s="30">
        <f>G327-H327</f>
        <v>20747083</v>
      </c>
      <c r="J327" s="144" t="s">
        <v>48</v>
      </c>
      <c r="K327">
        <v>19306</v>
      </c>
    </row>
    <row r="328">
      <c r="A328" s="27">
        <v>2022</v>
      </c>
      <c r="B328" s="28" t="s">
        <v>164</v>
      </c>
      <c r="C328" s="28" t="s">
        <v>12</v>
      </c>
      <c r="D328" s="28" t="s">
        <v>11</v>
      </c>
      <c r="E328" s="28" t="s">
        <v>19</v>
      </c>
      <c r="F328" s="28">
        <v>48589606</v>
      </c>
      <c r="G328" s="28">
        <v>22464299</v>
      </c>
      <c r="H328" s="28">
        <f>1239928+477288</f>
        <v>1717216</v>
      </c>
      <c r="I328" s="32">
        <f>G328-H328</f>
        <v>20747083</v>
      </c>
      <c r="J328" s="146" t="s">
        <v>37</v>
      </c>
      <c r="K328" s="28">
        <v>3589269</v>
      </c>
    </row>
    <row r="329">
      <c r="A329" s="22">
        <v>2022</v>
      </c>
      <c r="B329" s="23" t="s">
        <v>164</v>
      </c>
      <c r="C329" s="23" t="s">
        <v>165</v>
      </c>
      <c r="D329" s="23">
        <v>4301</v>
      </c>
      <c r="E329" s="23" t="s">
        <v>13</v>
      </c>
      <c r="F329" s="23">
        <v>101606</v>
      </c>
      <c r="G329" s="23">
        <v>53289</v>
      </c>
      <c r="H329" s="23">
        <f>649+245</f>
        <v>894</v>
      </c>
      <c r="I329" s="31">
        <f>G329-H329</f>
        <v>52395</v>
      </c>
      <c r="J329" s="145" t="s">
        <v>31</v>
      </c>
      <c r="K329" s="23">
        <v>23714</v>
      </c>
    </row>
    <row r="330">
      <c r="A330" s="25">
        <v>2022</v>
      </c>
      <c r="B330" t="s">
        <v>164</v>
      </c>
      <c r="C330" t="s">
        <v>165</v>
      </c>
      <c r="D330">
        <v>4301</v>
      </c>
      <c r="E330" t="s">
        <v>13</v>
      </c>
      <c r="F330">
        <v>101606</v>
      </c>
      <c r="G330">
        <v>53289</v>
      </c>
      <c r="H330">
        <f>649+245</f>
        <v>894</v>
      </c>
      <c r="I330" s="30">
        <f>G330-H330</f>
        <v>52395</v>
      </c>
      <c r="J330" s="144" t="s">
        <v>99</v>
      </c>
      <c r="K330">
        <v>9933</v>
      </c>
    </row>
    <row r="331">
      <c r="A331" s="25">
        <v>2022</v>
      </c>
      <c r="B331" t="s">
        <v>164</v>
      </c>
      <c r="C331" t="s">
        <v>165</v>
      </c>
      <c r="D331">
        <v>4301</v>
      </c>
      <c r="E331" t="s">
        <v>13</v>
      </c>
      <c r="F331">
        <v>101606</v>
      </c>
      <c r="G331">
        <v>53289</v>
      </c>
      <c r="H331">
        <f>649+245</f>
        <v>894</v>
      </c>
      <c r="I331" s="30">
        <f>G331-H331</f>
        <v>52395</v>
      </c>
      <c r="J331" s="144" t="s">
        <v>36</v>
      </c>
      <c r="K331">
        <v>7459</v>
      </c>
    </row>
    <row r="332">
      <c r="A332" s="25">
        <v>2022</v>
      </c>
      <c r="B332" t="s">
        <v>164</v>
      </c>
      <c r="C332" t="s">
        <v>165</v>
      </c>
      <c r="D332">
        <v>4301</v>
      </c>
      <c r="E332" t="s">
        <v>13</v>
      </c>
      <c r="F332">
        <v>101606</v>
      </c>
      <c r="G332">
        <v>53289</v>
      </c>
      <c r="H332">
        <f>649+245</f>
        <v>894</v>
      </c>
      <c r="I332" s="30">
        <f>G332-H332</f>
        <v>52395</v>
      </c>
      <c r="J332" s="144" t="s">
        <v>37</v>
      </c>
      <c r="K332">
        <v>7458</v>
      </c>
    </row>
    <row r="333">
      <c r="A333" s="25">
        <v>2022</v>
      </c>
      <c r="B333" t="s">
        <v>164</v>
      </c>
      <c r="C333" t="s">
        <v>165</v>
      </c>
      <c r="D333">
        <v>4301</v>
      </c>
      <c r="E333" t="s">
        <v>13</v>
      </c>
      <c r="F333">
        <v>101606</v>
      </c>
      <c r="G333">
        <v>53289</v>
      </c>
      <c r="H333">
        <f>649+245</f>
        <v>894</v>
      </c>
      <c r="I333" s="30">
        <f>G333-H333</f>
        <v>52395</v>
      </c>
      <c r="J333" s="144" t="s">
        <v>39</v>
      </c>
      <c r="K333">
        <v>1368</v>
      </c>
    </row>
    <row r="334">
      <c r="A334" s="25">
        <v>2022</v>
      </c>
      <c r="B334" t="s">
        <v>164</v>
      </c>
      <c r="C334" t="s">
        <v>165</v>
      </c>
      <c r="D334">
        <v>4301</v>
      </c>
      <c r="E334" t="s">
        <v>13</v>
      </c>
      <c r="F334">
        <v>101606</v>
      </c>
      <c r="G334">
        <v>53289</v>
      </c>
      <c r="H334">
        <f>649+245</f>
        <v>894</v>
      </c>
      <c r="I334" s="30">
        <f>G334-H334</f>
        <v>52395</v>
      </c>
      <c r="J334" s="144" t="s">
        <v>14</v>
      </c>
      <c r="K334">
        <v>1283</v>
      </c>
    </row>
    <row r="335">
      <c r="A335" s="25">
        <v>2022</v>
      </c>
      <c r="B335" t="s">
        <v>164</v>
      </c>
      <c r="C335" t="s">
        <v>165</v>
      </c>
      <c r="D335">
        <v>4301</v>
      </c>
      <c r="E335" t="s">
        <v>13</v>
      </c>
      <c r="F335">
        <v>101606</v>
      </c>
      <c r="G335">
        <v>53289</v>
      </c>
      <c r="H335">
        <f>649+245</f>
        <v>894</v>
      </c>
      <c r="I335" s="30">
        <f>G335-H335</f>
        <v>52395</v>
      </c>
      <c r="J335" s="144" t="s">
        <v>51</v>
      </c>
      <c r="K335">
        <v>663</v>
      </c>
    </row>
    <row r="336">
      <c r="A336" s="27">
        <v>2022</v>
      </c>
      <c r="B336" s="28" t="s">
        <v>164</v>
      </c>
      <c r="C336" s="28" t="s">
        <v>165</v>
      </c>
      <c r="D336" s="28">
        <v>4301</v>
      </c>
      <c r="E336" s="28" t="s">
        <v>13</v>
      </c>
      <c r="F336" s="28">
        <v>101606</v>
      </c>
      <c r="G336" s="28">
        <v>53289</v>
      </c>
      <c r="H336" s="28">
        <f>649+245</f>
        <v>894</v>
      </c>
      <c r="I336" s="32">
        <f>G336-H336</f>
        <v>52395</v>
      </c>
      <c r="J336" s="146" t="s">
        <v>98</v>
      </c>
      <c r="K336" s="28">
        <v>517</v>
      </c>
    </row>
    <row r="337">
      <c r="A337" s="22">
        <v>2022</v>
      </c>
      <c r="B337" s="23" t="s">
        <v>164</v>
      </c>
      <c r="C337" s="23" t="s">
        <v>165</v>
      </c>
      <c r="D337" s="23">
        <v>4301</v>
      </c>
      <c r="E337" s="23" t="s">
        <v>19</v>
      </c>
      <c r="F337" s="23">
        <v>101598</v>
      </c>
      <c r="G337" s="23">
        <v>48757</v>
      </c>
      <c r="H337" s="23">
        <f>1752+754</f>
        <v>2506</v>
      </c>
      <c r="I337" s="31">
        <f>G337-H337</f>
        <v>46251</v>
      </c>
      <c r="J337" s="145" t="s">
        <v>31</v>
      </c>
      <c r="K337" s="23">
        <v>32478</v>
      </c>
    </row>
    <row r="338">
      <c r="A338" s="27">
        <v>2022</v>
      </c>
      <c r="B338" s="28" t="s">
        <v>164</v>
      </c>
      <c r="C338" s="28" t="s">
        <v>165</v>
      </c>
      <c r="D338" s="28">
        <v>4301</v>
      </c>
      <c r="E338" s="28" t="s">
        <v>19</v>
      </c>
      <c r="F338" s="28">
        <v>101598</v>
      </c>
      <c r="G338" s="28">
        <v>48757</v>
      </c>
      <c r="H338" s="28">
        <f>1752+754</f>
        <v>2506</v>
      </c>
      <c r="I338" s="32">
        <f>G338-H338</f>
        <v>46251</v>
      </c>
      <c r="J338" s="146" t="s">
        <v>99</v>
      </c>
      <c r="K338" s="28">
        <v>13773</v>
      </c>
    </row>
    <row r="339">
      <c r="A339" s="22">
        <v>2022</v>
      </c>
      <c r="B339" s="23" t="s">
        <v>164</v>
      </c>
      <c r="C339" s="23" t="s">
        <v>165</v>
      </c>
      <c r="D339" s="23">
        <v>4302</v>
      </c>
      <c r="E339" s="23" t="s">
        <v>13</v>
      </c>
      <c r="F339" s="23">
        <v>79494</v>
      </c>
      <c r="G339" s="23">
        <v>42317</v>
      </c>
      <c r="H339" s="23">
        <f>717+334</f>
        <v>1051</v>
      </c>
      <c r="I339" s="31">
        <f>G339-H339</f>
        <v>41266</v>
      </c>
      <c r="J339" s="145" t="s">
        <v>31</v>
      </c>
      <c r="K339" s="23">
        <v>18850</v>
      </c>
    </row>
    <row r="340">
      <c r="A340" s="25">
        <v>2022</v>
      </c>
      <c r="B340" t="s">
        <v>164</v>
      </c>
      <c r="C340" t="s">
        <v>165</v>
      </c>
      <c r="D340">
        <v>4302</v>
      </c>
      <c r="E340" t="s">
        <v>13</v>
      </c>
      <c r="F340">
        <v>79494</v>
      </c>
      <c r="G340">
        <v>42317</v>
      </c>
      <c r="H340">
        <f>717+334</f>
        <v>1051</v>
      </c>
      <c r="I340" s="30">
        <f>G340-H340</f>
        <v>41266</v>
      </c>
      <c r="J340" s="144" t="s">
        <v>99</v>
      </c>
      <c r="K340">
        <v>8166</v>
      </c>
    </row>
    <row r="341">
      <c r="A341" s="25">
        <v>2022</v>
      </c>
      <c r="B341" t="s">
        <v>164</v>
      </c>
      <c r="C341" t="s">
        <v>165</v>
      </c>
      <c r="D341">
        <v>4302</v>
      </c>
      <c r="E341" t="s">
        <v>13</v>
      </c>
      <c r="F341">
        <v>79494</v>
      </c>
      <c r="G341">
        <v>42317</v>
      </c>
      <c r="H341">
        <f>717+334</f>
        <v>1051</v>
      </c>
      <c r="I341" s="30">
        <f>G341-H341</f>
        <v>41266</v>
      </c>
      <c r="J341" s="144" t="s">
        <v>37</v>
      </c>
      <c r="K341">
        <v>5618</v>
      </c>
    </row>
    <row r="342">
      <c r="A342" s="25">
        <v>2022</v>
      </c>
      <c r="B342" t="s">
        <v>164</v>
      </c>
      <c r="C342" t="s">
        <v>165</v>
      </c>
      <c r="D342">
        <v>4302</v>
      </c>
      <c r="E342" t="s">
        <v>13</v>
      </c>
      <c r="F342">
        <v>79494</v>
      </c>
      <c r="G342">
        <v>42317</v>
      </c>
      <c r="H342">
        <f>717+334</f>
        <v>1051</v>
      </c>
      <c r="I342" s="30">
        <f>G342-H342</f>
        <v>41266</v>
      </c>
      <c r="J342" s="144" t="s">
        <v>36</v>
      </c>
      <c r="K342">
        <v>4764</v>
      </c>
    </row>
    <row r="343">
      <c r="A343" s="25">
        <v>2022</v>
      </c>
      <c r="B343" t="s">
        <v>164</v>
      </c>
      <c r="C343" t="s">
        <v>165</v>
      </c>
      <c r="D343">
        <v>4302</v>
      </c>
      <c r="E343" t="s">
        <v>13</v>
      </c>
      <c r="F343">
        <v>79494</v>
      </c>
      <c r="G343">
        <v>42317</v>
      </c>
      <c r="H343">
        <f>717+334</f>
        <v>1051</v>
      </c>
      <c r="I343" s="30">
        <f>G343-H343</f>
        <v>41266</v>
      </c>
      <c r="J343" s="144" t="s">
        <v>39</v>
      </c>
      <c r="K343">
        <v>1041</v>
      </c>
    </row>
    <row r="344">
      <c r="A344" s="25">
        <v>2022</v>
      </c>
      <c r="B344" t="s">
        <v>164</v>
      </c>
      <c r="C344" t="s">
        <v>165</v>
      </c>
      <c r="D344">
        <v>4302</v>
      </c>
      <c r="E344" t="s">
        <v>13</v>
      </c>
      <c r="F344">
        <v>79494</v>
      </c>
      <c r="G344">
        <v>42317</v>
      </c>
      <c r="H344">
        <f>717+334</f>
        <v>1051</v>
      </c>
      <c r="I344" s="30">
        <f>G344-H344</f>
        <v>41266</v>
      </c>
      <c r="J344" s="144" t="s">
        <v>14</v>
      </c>
      <c r="K344">
        <v>856</v>
      </c>
    </row>
    <row r="345">
      <c r="A345" s="25">
        <v>2022</v>
      </c>
      <c r="B345" t="s">
        <v>164</v>
      </c>
      <c r="C345" t="s">
        <v>165</v>
      </c>
      <c r="D345">
        <v>4302</v>
      </c>
      <c r="E345" t="s">
        <v>13</v>
      </c>
      <c r="F345">
        <v>79494</v>
      </c>
      <c r="G345">
        <v>42317</v>
      </c>
      <c r="H345">
        <f>717+334</f>
        <v>1051</v>
      </c>
      <c r="I345" s="30">
        <f>G345-H345</f>
        <v>41266</v>
      </c>
      <c r="J345" s="144" t="s">
        <v>51</v>
      </c>
      <c r="K345">
        <v>578</v>
      </c>
    </row>
    <row r="346">
      <c r="A346" s="25">
        <v>2022</v>
      </c>
      <c r="B346" t="s">
        <v>164</v>
      </c>
      <c r="C346" t="s">
        <v>165</v>
      </c>
      <c r="D346">
        <v>4302</v>
      </c>
      <c r="E346" t="s">
        <v>13</v>
      </c>
      <c r="F346">
        <v>79494</v>
      </c>
      <c r="G346">
        <v>42317</v>
      </c>
      <c r="H346">
        <f>717+334</f>
        <v>1051</v>
      </c>
      <c r="I346" s="30">
        <f>G346-H346</f>
        <v>41266</v>
      </c>
      <c r="J346" s="144" t="s">
        <v>48</v>
      </c>
      <c r="K346">
        <v>495</v>
      </c>
    </row>
    <row r="347">
      <c r="A347" s="25">
        <v>2022</v>
      </c>
      <c r="B347" t="s">
        <v>164</v>
      </c>
      <c r="C347" t="s">
        <v>165</v>
      </c>
      <c r="D347">
        <v>4302</v>
      </c>
      <c r="E347" t="s">
        <v>13</v>
      </c>
      <c r="F347">
        <v>79494</v>
      </c>
      <c r="G347">
        <v>42317</v>
      </c>
      <c r="H347">
        <f>717+334</f>
        <v>1051</v>
      </c>
      <c r="I347" s="30">
        <f>G347-H347</f>
        <v>41266</v>
      </c>
      <c r="J347" s="144" t="s">
        <v>98</v>
      </c>
      <c r="K347">
        <v>375</v>
      </c>
    </row>
    <row r="348">
      <c r="A348" s="25">
        <v>2022</v>
      </c>
      <c r="B348" t="s">
        <v>164</v>
      </c>
      <c r="C348" t="s">
        <v>165</v>
      </c>
      <c r="D348">
        <v>4302</v>
      </c>
      <c r="E348" t="s">
        <v>13</v>
      </c>
      <c r="F348">
        <v>79494</v>
      </c>
      <c r="G348">
        <v>42317</v>
      </c>
      <c r="H348">
        <f>717+334</f>
        <v>1051</v>
      </c>
      <c r="I348" s="30">
        <f>G348-H348</f>
        <v>41266</v>
      </c>
      <c r="J348" s="144" t="s">
        <v>45</v>
      </c>
      <c r="K348">
        <v>367</v>
      </c>
    </row>
    <row r="349">
      <c r="A349" s="27">
        <v>2022</v>
      </c>
      <c r="B349" s="28" t="s">
        <v>164</v>
      </c>
      <c r="C349" s="28" t="s">
        <v>165</v>
      </c>
      <c r="D349" s="28">
        <v>4302</v>
      </c>
      <c r="E349" s="28" t="s">
        <v>13</v>
      </c>
      <c r="F349" s="28">
        <v>79494</v>
      </c>
      <c r="G349" s="28">
        <v>42317</v>
      </c>
      <c r="H349" s="28">
        <f>717+334</f>
        <v>1051</v>
      </c>
      <c r="I349" s="32">
        <f>G349-H349</f>
        <v>41266</v>
      </c>
      <c r="J349" s="146" t="s">
        <v>35</v>
      </c>
      <c r="K349" s="28">
        <v>156</v>
      </c>
    </row>
    <row r="350">
      <c r="A350" s="22">
        <v>2022</v>
      </c>
      <c r="B350" s="23" t="s">
        <v>164</v>
      </c>
      <c r="C350" s="23" t="s">
        <v>165</v>
      </c>
      <c r="D350" s="23">
        <v>4302</v>
      </c>
      <c r="E350" s="23" t="s">
        <v>19</v>
      </c>
      <c r="F350" s="23">
        <v>79477</v>
      </c>
      <c r="G350" s="23">
        <v>39724</v>
      </c>
      <c r="H350" s="23">
        <f>1485+756</f>
        <v>2241</v>
      </c>
      <c r="I350" s="31">
        <f>G350-H350</f>
        <v>37483</v>
      </c>
      <c r="J350" s="145" t="s">
        <v>31</v>
      </c>
      <c r="K350" s="23">
        <v>25621</v>
      </c>
    </row>
    <row r="351">
      <c r="A351" s="27">
        <v>2022</v>
      </c>
      <c r="B351" s="28" t="s">
        <v>164</v>
      </c>
      <c r="C351" s="28" t="s">
        <v>165</v>
      </c>
      <c r="D351" s="28">
        <v>4302</v>
      </c>
      <c r="E351" s="28" t="s">
        <v>19</v>
      </c>
      <c r="F351" s="28">
        <v>79477</v>
      </c>
      <c r="G351" s="28">
        <v>39724</v>
      </c>
      <c r="H351" s="28">
        <f>1485+756</f>
        <v>2241</v>
      </c>
      <c r="I351" s="32">
        <f>G351-H351</f>
        <v>37483</v>
      </c>
      <c r="J351" s="146" t="s">
        <v>99</v>
      </c>
      <c r="K351" s="28">
        <v>11862</v>
      </c>
    </row>
    <row r="352">
      <c r="A352">
        <v>2024</v>
      </c>
      <c r="B352" t="s">
        <v>341</v>
      </c>
      <c r="C352" t="s">
        <v>12</v>
      </c>
      <c r="D352" t="s">
        <v>11</v>
      </c>
      <c r="E352" t="s">
        <v>13</v>
      </c>
      <c r="F352">
        <v>49462981</v>
      </c>
      <c r="G352">
        <v>25470472</v>
      </c>
      <c r="H352">
        <f>346240+370459</f>
        <v>716699</v>
      </c>
      <c r="I352" s="30">
        <f>G352-H352</f>
        <v>24753773</v>
      </c>
      <c r="J352" s="144" t="s">
        <v>37</v>
      </c>
      <c r="K352">
        <v>7765936</v>
      </c>
    </row>
    <row r="353">
      <c r="A353">
        <v>2024</v>
      </c>
      <c r="B353" t="s">
        <v>341</v>
      </c>
      <c r="C353" t="s">
        <v>12</v>
      </c>
      <c r="D353" t="s">
        <v>11</v>
      </c>
      <c r="E353" t="s">
        <v>13</v>
      </c>
      <c r="F353">
        <v>49462981</v>
      </c>
      <c r="G353">
        <v>25470472</v>
      </c>
      <c r="H353">
        <f>346240+370459</f>
        <v>716699</v>
      </c>
      <c r="I353" s="30">
        <f>G353-H353</f>
        <v>24753773</v>
      </c>
      <c r="J353" s="144" t="s">
        <v>36</v>
      </c>
      <c r="K353">
        <v>3614646</v>
      </c>
    </row>
    <row r="354">
      <c r="A354">
        <v>2024</v>
      </c>
      <c r="B354" t="s">
        <v>341</v>
      </c>
      <c r="C354" t="s">
        <v>12</v>
      </c>
      <c r="D354" t="s">
        <v>11</v>
      </c>
      <c r="E354" t="s">
        <v>13</v>
      </c>
      <c r="F354">
        <v>49462981</v>
      </c>
      <c r="G354">
        <v>25470472</v>
      </c>
      <c r="H354">
        <f>346240+370459</f>
        <v>716699</v>
      </c>
      <c r="I354" s="30">
        <f>G354-H354</f>
        <v>24753773</v>
      </c>
      <c r="J354" s="144" t="s">
        <v>352</v>
      </c>
      <c r="K354">
        <v>3424216</v>
      </c>
    </row>
    <row r="355">
      <c r="A355">
        <v>2024</v>
      </c>
      <c r="B355" t="s">
        <v>341</v>
      </c>
      <c r="C355" t="s">
        <v>12</v>
      </c>
      <c r="D355" t="s">
        <v>11</v>
      </c>
      <c r="E355" t="s">
        <v>13</v>
      </c>
      <c r="F355">
        <v>49462981</v>
      </c>
      <c r="G355">
        <v>25470472</v>
      </c>
      <c r="H355">
        <f>346240+370459</f>
        <v>716699</v>
      </c>
      <c r="I355" s="30">
        <f>G355-H355</f>
        <v>24753773</v>
      </c>
      <c r="J355" s="144" t="s">
        <v>32</v>
      </c>
      <c r="K355">
        <v>2448703</v>
      </c>
    </row>
    <row r="356">
      <c r="A356">
        <v>2024</v>
      </c>
      <c r="B356" t="s">
        <v>341</v>
      </c>
      <c r="C356" t="s">
        <v>12</v>
      </c>
      <c r="D356" t="s">
        <v>11</v>
      </c>
      <c r="E356" t="s">
        <v>13</v>
      </c>
      <c r="F356">
        <v>49462981</v>
      </c>
      <c r="G356">
        <v>25470472</v>
      </c>
      <c r="H356">
        <f>346240+370459</f>
        <v>716699</v>
      </c>
      <c r="I356" s="30">
        <f>G356-H356</f>
        <v>24753773</v>
      </c>
      <c r="J356" s="144" t="s">
        <v>31</v>
      </c>
      <c r="K356">
        <v>1794171</v>
      </c>
    </row>
    <row r="357">
      <c r="A357">
        <v>2024</v>
      </c>
      <c r="B357" t="s">
        <v>341</v>
      </c>
      <c r="C357" t="s">
        <v>12</v>
      </c>
      <c r="D357" t="s">
        <v>11</v>
      </c>
      <c r="E357" t="s">
        <v>13</v>
      </c>
      <c r="F357">
        <v>49462981</v>
      </c>
      <c r="G357">
        <v>25470472</v>
      </c>
      <c r="H357">
        <f>346240+370459</f>
        <v>716699</v>
      </c>
      <c r="I357" s="30">
        <f>G357-H357</f>
        <v>24753773</v>
      </c>
      <c r="J357" s="144" t="s">
        <v>51</v>
      </c>
      <c r="K357">
        <v>1361883</v>
      </c>
    </row>
    <row r="358">
      <c r="A358">
        <v>2024</v>
      </c>
      <c r="B358" t="s">
        <v>341</v>
      </c>
      <c r="C358" t="s">
        <v>12</v>
      </c>
      <c r="D358" t="s">
        <v>11</v>
      </c>
      <c r="E358" t="s">
        <v>13</v>
      </c>
      <c r="F358">
        <v>49462981</v>
      </c>
      <c r="G358">
        <v>25470472</v>
      </c>
      <c r="H358">
        <f>346240+370459</f>
        <v>716699</v>
      </c>
      <c r="I358" s="30">
        <f>G358-H358</f>
        <v>24753773</v>
      </c>
      <c r="J358" s="144" t="s">
        <v>39</v>
      </c>
      <c r="K358">
        <v>1353127</v>
      </c>
    </row>
    <row r="359">
      <c r="A359">
        <v>2024</v>
      </c>
      <c r="B359" t="s">
        <v>341</v>
      </c>
      <c r="C359" t="s">
        <v>12</v>
      </c>
      <c r="D359" t="s">
        <v>11</v>
      </c>
      <c r="E359" t="s">
        <v>13</v>
      </c>
      <c r="F359">
        <v>49462981</v>
      </c>
      <c r="G359">
        <v>25470472</v>
      </c>
      <c r="H359">
        <f>346240+370459</f>
        <v>716699</v>
      </c>
      <c r="I359" s="30">
        <f>G359-H359</f>
        <v>24753773</v>
      </c>
      <c r="J359" s="144" t="s">
        <v>40</v>
      </c>
      <c r="K359">
        <v>584067</v>
      </c>
    </row>
    <row r="360">
      <c r="A360">
        <v>2024</v>
      </c>
      <c r="B360" t="s">
        <v>341</v>
      </c>
      <c r="C360" t="s">
        <v>12</v>
      </c>
      <c r="D360" t="s">
        <v>11</v>
      </c>
      <c r="E360" t="s">
        <v>13</v>
      </c>
      <c r="F360">
        <v>49462981</v>
      </c>
      <c r="G360">
        <v>25470472</v>
      </c>
      <c r="H360">
        <f>346240+370459</f>
        <v>716699</v>
      </c>
      <c r="I360" s="30">
        <f>G360-H360</f>
        <v>24753773</v>
      </c>
      <c r="J360" s="144" t="s">
        <v>26</v>
      </c>
      <c r="K360">
        <v>582901</v>
      </c>
    </row>
    <row r="361">
      <c r="A361">
        <v>2024</v>
      </c>
      <c r="B361" t="s">
        <v>341</v>
      </c>
      <c r="C361" t="s">
        <v>12</v>
      </c>
      <c r="D361" t="s">
        <v>11</v>
      </c>
      <c r="E361" t="s">
        <v>13</v>
      </c>
      <c r="F361">
        <v>49462981</v>
      </c>
      <c r="G361">
        <v>25470472</v>
      </c>
      <c r="H361">
        <f>346240+370459</f>
        <v>716699</v>
      </c>
      <c r="I361" s="30">
        <f>G361-H361</f>
        <v>24753773</v>
      </c>
      <c r="J361" s="144" t="s">
        <v>365</v>
      </c>
      <c r="K361">
        <v>495936</v>
      </c>
    </row>
    <row r="362">
      <c r="A362">
        <v>2024</v>
      </c>
      <c r="B362" t="s">
        <v>341</v>
      </c>
      <c r="C362" t="s">
        <v>12</v>
      </c>
      <c r="D362" t="s">
        <v>11</v>
      </c>
      <c r="E362" t="s">
        <v>13</v>
      </c>
      <c r="F362">
        <v>49462981</v>
      </c>
      <c r="G362">
        <v>25470472</v>
      </c>
      <c r="H362">
        <f>346240+370459</f>
        <v>716699</v>
      </c>
      <c r="I362" s="30">
        <f>G362-H362</f>
        <v>24753773</v>
      </c>
      <c r="J362" s="144" t="s">
        <v>14</v>
      </c>
      <c r="K362">
        <v>316136</v>
      </c>
    </row>
    <row r="363">
      <c r="A363">
        <v>2024</v>
      </c>
      <c r="B363" t="s">
        <v>341</v>
      </c>
      <c r="C363" t="s">
        <v>12</v>
      </c>
      <c r="D363" t="s">
        <v>11</v>
      </c>
      <c r="E363" t="s">
        <v>13</v>
      </c>
      <c r="F363">
        <v>49462981</v>
      </c>
      <c r="G363">
        <v>25470472</v>
      </c>
      <c r="H363">
        <f>346240+370459</f>
        <v>716699</v>
      </c>
      <c r="I363" s="30">
        <f>G363-H363</f>
        <v>24753773</v>
      </c>
      <c r="J363" s="144" t="s">
        <v>365</v>
      </c>
      <c r="K363">
        <v>253036</v>
      </c>
    </row>
    <row r="364">
      <c r="A364">
        <v>2024</v>
      </c>
      <c r="B364" t="s">
        <v>341</v>
      </c>
      <c r="C364" t="s">
        <v>12</v>
      </c>
      <c r="D364" t="s">
        <v>11</v>
      </c>
      <c r="E364" t="s">
        <v>13</v>
      </c>
      <c r="F364">
        <v>49462981</v>
      </c>
      <c r="G364">
        <v>25470472</v>
      </c>
      <c r="H364">
        <f>346240+370459</f>
        <v>716699</v>
      </c>
      <c r="I364" s="30">
        <f>G364-H364</f>
        <v>24753773</v>
      </c>
      <c r="J364" s="144" t="s">
        <v>49</v>
      </c>
      <c r="K364">
        <v>229190</v>
      </c>
    </row>
    <row r="365">
      <c r="A365">
        <v>2024</v>
      </c>
      <c r="B365" t="s">
        <v>341</v>
      </c>
      <c r="C365" t="s">
        <v>12</v>
      </c>
      <c r="D365" t="s">
        <v>11</v>
      </c>
      <c r="E365" t="s">
        <v>13</v>
      </c>
      <c r="F365">
        <v>49462981</v>
      </c>
      <c r="G365">
        <v>25470472</v>
      </c>
      <c r="H365">
        <f>346240+370459</f>
        <v>716699</v>
      </c>
      <c r="I365" s="30">
        <f>G365-H365</f>
        <v>24753773</v>
      </c>
      <c r="J365" s="144" t="s">
        <v>23</v>
      </c>
      <c r="K365">
        <v>121281</v>
      </c>
    </row>
    <row r="366">
      <c r="A366">
        <v>2024</v>
      </c>
      <c r="B366" t="s">
        <v>341</v>
      </c>
      <c r="C366" t="s">
        <v>12</v>
      </c>
      <c r="D366" t="s">
        <v>11</v>
      </c>
      <c r="E366" t="s">
        <v>13</v>
      </c>
      <c r="F366">
        <v>49462981</v>
      </c>
      <c r="G366">
        <v>25470472</v>
      </c>
      <c r="H366">
        <f>346240+370459</f>
        <v>716699</v>
      </c>
      <c r="I366" s="30">
        <f>G366-H366</f>
        <v>24753773</v>
      </c>
      <c r="J366" s="144" t="s">
        <v>14</v>
      </c>
      <c r="K366">
        <v>104954</v>
      </c>
    </row>
    <row r="367">
      <c r="A367">
        <v>2024</v>
      </c>
      <c r="B367" t="s">
        <v>341</v>
      </c>
      <c r="C367" t="s">
        <v>12</v>
      </c>
      <c r="D367" t="s">
        <v>11</v>
      </c>
      <c r="E367" t="s">
        <v>13</v>
      </c>
      <c r="F367">
        <v>49462981</v>
      </c>
      <c r="G367">
        <v>25470472</v>
      </c>
      <c r="H367">
        <f>346240+370459</f>
        <v>716699</v>
      </c>
      <c r="I367" s="30">
        <f>G367-H367</f>
        <v>24753773</v>
      </c>
      <c r="J367" s="144" t="s">
        <v>14</v>
      </c>
      <c r="K367">
        <v>73002</v>
      </c>
    </row>
    <row r="368">
      <c r="A368">
        <v>2024</v>
      </c>
      <c r="B368" t="s">
        <v>341</v>
      </c>
      <c r="C368" t="s">
        <v>12</v>
      </c>
      <c r="D368" t="s">
        <v>11</v>
      </c>
      <c r="E368" t="s">
        <v>13</v>
      </c>
      <c r="F368">
        <v>49462981</v>
      </c>
      <c r="G368">
        <v>25470472</v>
      </c>
      <c r="H368">
        <f>346240+370459</f>
        <v>716699</v>
      </c>
      <c r="I368" s="30">
        <f>G368-H368</f>
        <v>24753773</v>
      </c>
      <c r="J368" s="144" t="s">
        <v>43</v>
      </c>
      <c r="K368">
        <v>63482</v>
      </c>
    </row>
    <row r="369">
      <c r="A369">
        <v>2024</v>
      </c>
      <c r="B369" t="s">
        <v>341</v>
      </c>
      <c r="C369" t="s">
        <v>12</v>
      </c>
      <c r="D369" t="s">
        <v>11</v>
      </c>
      <c r="E369" t="s">
        <v>13</v>
      </c>
      <c r="F369">
        <v>49462981</v>
      </c>
      <c r="G369">
        <v>25470472</v>
      </c>
      <c r="H369">
        <f>346240+370459</f>
        <v>716699</v>
      </c>
      <c r="I369" s="30">
        <f>G369-H369</f>
        <v>24753773</v>
      </c>
      <c r="J369" s="144" t="s">
        <v>23</v>
      </c>
      <c r="K369">
        <v>37434</v>
      </c>
    </row>
    <row r="370">
      <c r="A370">
        <v>2024</v>
      </c>
      <c r="B370" t="s">
        <v>341</v>
      </c>
      <c r="C370" t="s">
        <v>12</v>
      </c>
      <c r="D370" t="s">
        <v>11</v>
      </c>
      <c r="E370" t="s">
        <v>13</v>
      </c>
      <c r="F370">
        <v>49462981</v>
      </c>
      <c r="G370">
        <v>25470472</v>
      </c>
      <c r="H370">
        <f>346240+370459</f>
        <v>716699</v>
      </c>
      <c r="I370" s="30">
        <f>G370-H370</f>
        <v>24753773</v>
      </c>
      <c r="J370" s="144" t="s">
        <v>365</v>
      </c>
      <c r="K370">
        <v>28119</v>
      </c>
    </row>
    <row r="371">
      <c r="A371">
        <v>2024</v>
      </c>
      <c r="B371" t="s">
        <v>341</v>
      </c>
      <c r="C371" t="s">
        <v>12</v>
      </c>
      <c r="D371" t="s">
        <v>11</v>
      </c>
      <c r="E371" t="s">
        <v>13</v>
      </c>
      <c r="F371">
        <v>49462981</v>
      </c>
      <c r="G371">
        <v>25470472</v>
      </c>
      <c r="H371">
        <f>346240+370459</f>
        <v>716699</v>
      </c>
      <c r="I371" s="30">
        <f>G371-H371</f>
        <v>24753773</v>
      </c>
      <c r="J371" s="144" t="s">
        <v>365</v>
      </c>
      <c r="K371">
        <v>14986</v>
      </c>
    </row>
    <row r="372">
      <c r="A372">
        <v>2024</v>
      </c>
      <c r="B372" t="s">
        <v>341</v>
      </c>
      <c r="C372" t="s">
        <v>12</v>
      </c>
      <c r="D372" t="s">
        <v>11</v>
      </c>
      <c r="E372" t="s">
        <v>13</v>
      </c>
      <c r="F372">
        <v>49462981</v>
      </c>
      <c r="G372">
        <v>25470472</v>
      </c>
      <c r="H372">
        <f>346240+370459</f>
        <v>716699</v>
      </c>
      <c r="I372" s="30">
        <f>G372-H372</f>
        <v>24753773</v>
      </c>
      <c r="J372" s="144" t="s">
        <v>365</v>
      </c>
      <c r="K372">
        <v>13886</v>
      </c>
    </row>
    <row r="373">
      <c r="A373">
        <v>2024</v>
      </c>
      <c r="B373" t="s">
        <v>341</v>
      </c>
      <c r="C373" t="s">
        <v>12</v>
      </c>
      <c r="D373" t="s">
        <v>11</v>
      </c>
      <c r="E373" t="s">
        <v>13</v>
      </c>
      <c r="F373">
        <v>49462981</v>
      </c>
      <c r="G373">
        <v>25470472</v>
      </c>
      <c r="H373">
        <f>346240+370459</f>
        <v>716699</v>
      </c>
      <c r="I373" s="30">
        <f>G373-H373</f>
        <v>24753773</v>
      </c>
      <c r="J373" s="144" t="s">
        <v>43</v>
      </c>
      <c r="K373">
        <v>13068</v>
      </c>
    </row>
    <row r="374">
      <c r="A374">
        <v>2024</v>
      </c>
      <c r="B374" t="s">
        <v>341</v>
      </c>
      <c r="C374" t="s">
        <v>12</v>
      </c>
      <c r="D374" t="s">
        <v>11</v>
      </c>
      <c r="E374" t="s">
        <v>13</v>
      </c>
      <c r="F374">
        <v>49462981</v>
      </c>
      <c r="G374">
        <v>25470472</v>
      </c>
      <c r="H374">
        <f>346240+370459</f>
        <v>716699</v>
      </c>
      <c r="I374" s="30">
        <f>G374-H374</f>
        <v>24753773</v>
      </c>
      <c r="J374" s="144" t="s">
        <v>365</v>
      </c>
      <c r="K374">
        <v>10349</v>
      </c>
    </row>
    <row r="375">
      <c r="A375">
        <v>2024</v>
      </c>
      <c r="B375" t="s">
        <v>341</v>
      </c>
      <c r="C375" t="s">
        <v>12</v>
      </c>
      <c r="D375" t="s">
        <v>11</v>
      </c>
      <c r="E375" t="s">
        <v>13</v>
      </c>
      <c r="F375">
        <v>49462981</v>
      </c>
      <c r="G375">
        <v>25470472</v>
      </c>
      <c r="H375">
        <f>346240+370459</f>
        <v>716699</v>
      </c>
      <c r="I375" s="30">
        <f>G375-H375</f>
        <v>24753773</v>
      </c>
      <c r="J375" s="144" t="s">
        <v>365</v>
      </c>
      <c r="K375">
        <v>7397</v>
      </c>
    </row>
    <row r="376">
      <c r="A376">
        <v>2024</v>
      </c>
      <c r="B376" t="s">
        <v>341</v>
      </c>
      <c r="C376" t="s">
        <v>12</v>
      </c>
      <c r="D376" t="s">
        <v>11</v>
      </c>
      <c r="E376" t="s">
        <v>13</v>
      </c>
      <c r="F376">
        <v>49462981</v>
      </c>
      <c r="G376">
        <v>25470472</v>
      </c>
      <c r="H376">
        <f>346240+370459</f>
        <v>716699</v>
      </c>
      <c r="I376" s="30">
        <f>G376-H376</f>
        <v>24753773</v>
      </c>
      <c r="J376" s="144" t="s">
        <v>365</v>
      </c>
      <c r="K376">
        <v>5474</v>
      </c>
    </row>
    <row r="377">
      <c r="A377">
        <v>2024</v>
      </c>
      <c r="B377" t="s">
        <v>341</v>
      </c>
      <c r="C377" t="s">
        <v>12</v>
      </c>
      <c r="D377" t="s">
        <v>11</v>
      </c>
      <c r="E377" t="s">
        <v>13</v>
      </c>
      <c r="F377">
        <v>49462981</v>
      </c>
      <c r="G377">
        <v>25470472</v>
      </c>
      <c r="H377">
        <f>346240+370459</f>
        <v>716699</v>
      </c>
      <c r="I377" s="30">
        <f>G377-H377</f>
        <v>24753773</v>
      </c>
      <c r="J377" s="144" t="s">
        <v>365</v>
      </c>
      <c r="K377">
        <v>5214</v>
      </c>
    </row>
    <row r="378">
      <c r="A378">
        <v>2024</v>
      </c>
      <c r="B378" t="s">
        <v>341</v>
      </c>
      <c r="C378" t="s">
        <v>12</v>
      </c>
      <c r="D378" t="s">
        <v>11</v>
      </c>
      <c r="E378" t="s">
        <v>13</v>
      </c>
      <c r="F378">
        <v>49462981</v>
      </c>
      <c r="G378">
        <v>25470472</v>
      </c>
      <c r="H378">
        <f>346240+370459</f>
        <v>716699</v>
      </c>
      <c r="I378" s="30">
        <f>G378-H378</f>
        <v>24753773</v>
      </c>
      <c r="J378" s="144" t="s">
        <v>49</v>
      </c>
      <c r="K378">
        <v>5096</v>
      </c>
    </row>
    <row r="379">
      <c r="A379">
        <v>2024</v>
      </c>
      <c r="B379" t="s">
        <v>341</v>
      </c>
      <c r="C379" t="s">
        <v>12</v>
      </c>
      <c r="D379" t="s">
        <v>11</v>
      </c>
      <c r="E379" t="s">
        <v>13</v>
      </c>
      <c r="F379">
        <v>49462981</v>
      </c>
      <c r="G379">
        <v>25470472</v>
      </c>
      <c r="H379">
        <f>346240+370459</f>
        <v>716699</v>
      </c>
      <c r="I379" s="30">
        <f>G379-H379</f>
        <v>24753773</v>
      </c>
      <c r="J379" s="144" t="s">
        <v>23</v>
      </c>
      <c r="K379">
        <v>4120</v>
      </c>
    </row>
    <row r="380">
      <c r="A380">
        <v>2024</v>
      </c>
      <c r="B380" t="s">
        <v>341</v>
      </c>
      <c r="C380" t="s">
        <v>12</v>
      </c>
      <c r="D380" t="s">
        <v>11</v>
      </c>
      <c r="E380" t="s">
        <v>13</v>
      </c>
      <c r="F380">
        <v>49462981</v>
      </c>
      <c r="G380">
        <v>25470472</v>
      </c>
      <c r="H380">
        <f>346240+370459</f>
        <v>716699</v>
      </c>
      <c r="I380" s="30">
        <f>G380-H380</f>
        <v>24753773</v>
      </c>
      <c r="J380" s="144" t="s">
        <v>365</v>
      </c>
      <c r="K380">
        <v>4038</v>
      </c>
    </row>
    <row r="381">
      <c r="A381">
        <v>2024</v>
      </c>
      <c r="B381" t="s">
        <v>341</v>
      </c>
      <c r="C381" t="s">
        <v>12</v>
      </c>
      <c r="D381" t="s">
        <v>11</v>
      </c>
      <c r="E381" t="s">
        <v>13</v>
      </c>
      <c r="F381">
        <v>49462981</v>
      </c>
      <c r="G381">
        <v>25470472</v>
      </c>
      <c r="H381">
        <f>346240+370459</f>
        <v>716699</v>
      </c>
      <c r="I381" s="30">
        <f>G381-H381</f>
        <v>24753773</v>
      </c>
      <c r="J381" s="144" t="s">
        <v>23</v>
      </c>
      <c r="K381">
        <v>3726</v>
      </c>
    </row>
    <row r="382">
      <c r="A382">
        <v>2024</v>
      </c>
      <c r="B382" t="s">
        <v>341</v>
      </c>
      <c r="C382" t="s">
        <v>12</v>
      </c>
      <c r="D382" t="s">
        <v>11</v>
      </c>
      <c r="E382" t="s">
        <v>13</v>
      </c>
      <c r="F382">
        <v>49462981</v>
      </c>
      <c r="G382">
        <v>25470472</v>
      </c>
      <c r="H382">
        <f>346240+370459</f>
        <v>716699</v>
      </c>
      <c r="I382" s="30">
        <f>G382-H382</f>
        <v>24753773</v>
      </c>
      <c r="J382" s="144" t="s">
        <v>365</v>
      </c>
      <c r="K382">
        <v>3688</v>
      </c>
    </row>
    <row r="383">
      <c r="A383">
        <v>2024</v>
      </c>
      <c r="B383" t="s">
        <v>341</v>
      </c>
      <c r="C383" t="s">
        <v>12</v>
      </c>
      <c r="D383" t="s">
        <v>11</v>
      </c>
      <c r="E383" t="s">
        <v>13</v>
      </c>
      <c r="F383">
        <v>49462981</v>
      </c>
      <c r="G383">
        <v>25470472</v>
      </c>
      <c r="H383">
        <f>346240+370459</f>
        <v>716699</v>
      </c>
      <c r="I383" s="30">
        <f>G383-H383</f>
        <v>24753773</v>
      </c>
      <c r="J383" s="144" t="s">
        <v>23</v>
      </c>
      <c r="K383">
        <v>3078</v>
      </c>
    </row>
    <row r="384">
      <c r="A384">
        <v>2024</v>
      </c>
      <c r="B384" t="s">
        <v>341</v>
      </c>
      <c r="C384" t="s">
        <v>12</v>
      </c>
      <c r="D384" t="s">
        <v>11</v>
      </c>
      <c r="E384" t="s">
        <v>13</v>
      </c>
      <c r="F384">
        <v>49462981</v>
      </c>
      <c r="G384">
        <v>25470472</v>
      </c>
      <c r="H384">
        <f>346240+370459</f>
        <v>716699</v>
      </c>
      <c r="I384" s="30">
        <f>G384-H384</f>
        <v>24753773</v>
      </c>
      <c r="J384" s="144" t="s">
        <v>365</v>
      </c>
      <c r="K384">
        <v>1507</v>
      </c>
    </row>
    <row r="385">
      <c r="A385">
        <v>2024</v>
      </c>
      <c r="B385" t="s">
        <v>341</v>
      </c>
      <c r="C385" t="s">
        <v>12</v>
      </c>
      <c r="D385" t="s">
        <v>11</v>
      </c>
      <c r="E385" t="s">
        <v>13</v>
      </c>
      <c r="F385">
        <v>49462981</v>
      </c>
      <c r="G385">
        <v>25470472</v>
      </c>
      <c r="H385">
        <f>346240+370459</f>
        <v>716699</v>
      </c>
      <c r="I385" s="30">
        <f>G385-H385</f>
        <v>24753773</v>
      </c>
      <c r="J385" s="144" t="s">
        <v>23</v>
      </c>
      <c r="K385">
        <v>1497</v>
      </c>
    </row>
    <row r="386">
      <c r="A386">
        <v>2024</v>
      </c>
      <c r="B386" t="s">
        <v>341</v>
      </c>
      <c r="C386" t="s">
        <v>12</v>
      </c>
      <c r="D386" t="s">
        <v>11</v>
      </c>
      <c r="E386" t="s">
        <v>13</v>
      </c>
      <c r="F386">
        <v>49462981</v>
      </c>
      <c r="G386">
        <v>25470472</v>
      </c>
      <c r="H386">
        <f>346240+370459</f>
        <v>716699</v>
      </c>
      <c r="I386" s="30">
        <f>G386-H386</f>
        <v>24753773</v>
      </c>
      <c r="J386" s="144" t="s">
        <v>365</v>
      </c>
      <c r="K386">
        <v>1443</v>
      </c>
    </row>
    <row r="387">
      <c r="A387">
        <v>2024</v>
      </c>
      <c r="B387" t="s">
        <v>341</v>
      </c>
      <c r="C387" t="s">
        <v>12</v>
      </c>
      <c r="D387" t="s">
        <v>11</v>
      </c>
      <c r="E387" t="s">
        <v>13</v>
      </c>
      <c r="F387">
        <v>49462981</v>
      </c>
      <c r="G387">
        <v>25470472</v>
      </c>
      <c r="H387">
        <f>346240+370459</f>
        <v>716699</v>
      </c>
      <c r="I387" s="30">
        <f>G387-H387</f>
        <v>24753773</v>
      </c>
      <c r="J387" s="144" t="s">
        <v>365</v>
      </c>
      <c r="K387">
        <v>1230</v>
      </c>
    </row>
    <row r="388">
      <c r="A388">
        <v>2024</v>
      </c>
      <c r="B388" t="s">
        <v>341</v>
      </c>
      <c r="C388" t="s">
        <v>12</v>
      </c>
      <c r="D388" t="s">
        <v>11</v>
      </c>
      <c r="E388" t="s">
        <v>13</v>
      </c>
      <c r="F388">
        <v>49462981</v>
      </c>
      <c r="G388">
        <v>25470472</v>
      </c>
      <c r="H388">
        <f>346240+370459</f>
        <v>716699</v>
      </c>
      <c r="I388" s="30">
        <f>G388-H388</f>
        <v>24753773</v>
      </c>
      <c r="J388" s="144" t="s">
        <v>365</v>
      </c>
      <c r="K388">
        <v>1007</v>
      </c>
    </row>
    <row r="389">
      <c r="A389">
        <v>2024</v>
      </c>
      <c r="B389" t="s">
        <v>341</v>
      </c>
      <c r="C389" t="s">
        <v>12</v>
      </c>
      <c r="D389" t="s">
        <v>11</v>
      </c>
      <c r="E389" t="s">
        <v>13</v>
      </c>
      <c r="F389">
        <v>49462981</v>
      </c>
      <c r="G389">
        <v>25470472</v>
      </c>
      <c r="H389">
        <f>346240+370459</f>
        <v>716699</v>
      </c>
      <c r="I389" s="30">
        <f>G389-H389</f>
        <v>24753773</v>
      </c>
      <c r="J389" s="144" t="s">
        <v>365</v>
      </c>
      <c r="K389">
        <v>749</v>
      </c>
    </row>
    <row r="390">
      <c r="A390">
        <v>2024</v>
      </c>
      <c r="B390" t="s">
        <v>341</v>
      </c>
      <c r="C390" t="s">
        <v>163</v>
      </c>
      <c r="D390">
        <v>43</v>
      </c>
      <c r="E390" t="s">
        <v>13</v>
      </c>
      <c r="F390">
        <v>182507</v>
      </c>
      <c r="G390">
        <v>104108</v>
      </c>
      <c r="H390">
        <f>2056+2217</f>
        <v>4273</v>
      </c>
      <c r="I390" s="30">
        <f>G390-H390</f>
        <v>99835</v>
      </c>
      <c r="J390" s="144" t="s">
        <v>37</v>
      </c>
      <c r="K390">
        <v>37711</v>
      </c>
    </row>
    <row r="391">
      <c r="A391">
        <v>2024</v>
      </c>
      <c r="B391" t="s">
        <v>341</v>
      </c>
      <c r="C391" t="s">
        <v>163</v>
      </c>
      <c r="D391">
        <v>43</v>
      </c>
      <c r="E391" t="s">
        <v>13</v>
      </c>
      <c r="F391">
        <v>182507</v>
      </c>
      <c r="G391">
        <v>104108</v>
      </c>
      <c r="H391">
        <f>2056+2217</f>
        <v>4273</v>
      </c>
      <c r="I391" s="30">
        <f>G391-H391</f>
        <v>99835</v>
      </c>
      <c r="J391" s="144" t="s">
        <v>352</v>
      </c>
      <c r="K391">
        <v>11682</v>
      </c>
    </row>
    <row r="392">
      <c r="A392">
        <v>2024</v>
      </c>
      <c r="B392" t="s">
        <v>341</v>
      </c>
      <c r="C392" t="s">
        <v>163</v>
      </c>
      <c r="D392">
        <v>43</v>
      </c>
      <c r="E392" t="s">
        <v>13</v>
      </c>
      <c r="F392">
        <v>182507</v>
      </c>
      <c r="G392">
        <v>104108</v>
      </c>
      <c r="H392">
        <f>2056+2217</f>
        <v>4273</v>
      </c>
      <c r="I392" s="30">
        <f>G392-H392</f>
        <v>99835</v>
      </c>
      <c r="J392" s="144" t="s">
        <v>36</v>
      </c>
      <c r="K392">
        <v>11283</v>
      </c>
    </row>
    <row r="393">
      <c r="A393">
        <v>2024</v>
      </c>
      <c r="B393" t="s">
        <v>341</v>
      </c>
      <c r="C393" t="s">
        <v>163</v>
      </c>
      <c r="D393">
        <v>43</v>
      </c>
      <c r="E393" t="s">
        <v>13</v>
      </c>
      <c r="F393">
        <v>182507</v>
      </c>
      <c r="G393">
        <v>104108</v>
      </c>
      <c r="H393">
        <f>2056+2217</f>
        <v>4273</v>
      </c>
      <c r="I393" s="30">
        <f>G393-H393</f>
        <v>99835</v>
      </c>
      <c r="J393" s="144" t="s">
        <v>31</v>
      </c>
      <c r="K393">
        <v>10684</v>
      </c>
    </row>
    <row r="394">
      <c r="A394">
        <v>2024</v>
      </c>
      <c r="B394" t="s">
        <v>341</v>
      </c>
      <c r="C394" t="s">
        <v>163</v>
      </c>
      <c r="D394">
        <v>43</v>
      </c>
      <c r="E394" t="s">
        <v>13</v>
      </c>
      <c r="F394">
        <v>182507</v>
      </c>
      <c r="G394">
        <v>104108</v>
      </c>
      <c r="H394">
        <f>2056+2217</f>
        <v>4273</v>
      </c>
      <c r="I394" s="30">
        <f>G394-H394</f>
        <v>99835</v>
      </c>
      <c r="J394" s="144" t="s">
        <v>32</v>
      </c>
      <c r="K394">
        <v>5461</v>
      </c>
    </row>
    <row r="395">
      <c r="A395">
        <v>2024</v>
      </c>
      <c r="B395" t="s">
        <v>341</v>
      </c>
      <c r="C395" t="s">
        <v>163</v>
      </c>
      <c r="D395">
        <v>43</v>
      </c>
      <c r="E395" t="s">
        <v>13</v>
      </c>
      <c r="F395">
        <v>182507</v>
      </c>
      <c r="G395">
        <v>104108</v>
      </c>
      <c r="H395">
        <f>2056+2217</f>
        <v>4273</v>
      </c>
      <c r="I395" s="30">
        <f>G395-H395</f>
        <v>99835</v>
      </c>
      <c r="J395" s="144" t="s">
        <v>39</v>
      </c>
      <c r="K395">
        <v>5416</v>
      </c>
    </row>
    <row r="396">
      <c r="A396">
        <v>2024</v>
      </c>
      <c r="B396" t="s">
        <v>341</v>
      </c>
      <c r="C396" t="s">
        <v>163</v>
      </c>
      <c r="D396">
        <v>43</v>
      </c>
      <c r="E396" t="s">
        <v>13</v>
      </c>
      <c r="F396">
        <v>182507</v>
      </c>
      <c r="G396">
        <v>104108</v>
      </c>
      <c r="H396">
        <f>2056+2217</f>
        <v>4273</v>
      </c>
      <c r="I396" s="30">
        <f>G396-H396</f>
        <v>99835</v>
      </c>
      <c r="J396" s="144" t="s">
        <v>51</v>
      </c>
      <c r="K396">
        <v>4511</v>
      </c>
    </row>
    <row r="397">
      <c r="A397">
        <v>2024</v>
      </c>
      <c r="B397" t="s">
        <v>341</v>
      </c>
      <c r="C397" t="s">
        <v>163</v>
      </c>
      <c r="D397">
        <v>43</v>
      </c>
      <c r="E397" t="s">
        <v>13</v>
      </c>
      <c r="F397">
        <v>182507</v>
      </c>
      <c r="G397">
        <v>104108</v>
      </c>
      <c r="H397">
        <f>2056+2217</f>
        <v>4273</v>
      </c>
      <c r="I397" s="30">
        <f>G397-H397</f>
        <v>99835</v>
      </c>
      <c r="J397" s="144" t="s">
        <v>26</v>
      </c>
      <c r="K397">
        <v>3728</v>
      </c>
    </row>
    <row r="398">
      <c r="A398">
        <v>2024</v>
      </c>
      <c r="B398" t="s">
        <v>341</v>
      </c>
      <c r="C398" t="s">
        <v>163</v>
      </c>
      <c r="D398">
        <v>43</v>
      </c>
      <c r="E398" t="s">
        <v>13</v>
      </c>
      <c r="F398">
        <v>182507</v>
      </c>
      <c r="G398">
        <v>104108</v>
      </c>
      <c r="H398">
        <f>2056+2217</f>
        <v>4273</v>
      </c>
      <c r="I398" s="30">
        <f>G398-H398</f>
        <v>99835</v>
      </c>
      <c r="J398" s="144" t="s">
        <v>40</v>
      </c>
      <c r="K398">
        <v>2476</v>
      </c>
    </row>
    <row r="399">
      <c r="A399">
        <v>2024</v>
      </c>
      <c r="B399" t="s">
        <v>341</v>
      </c>
      <c r="C399" t="s">
        <v>163</v>
      </c>
      <c r="D399">
        <v>43</v>
      </c>
      <c r="E399" t="s">
        <v>13</v>
      </c>
      <c r="F399">
        <v>182507</v>
      </c>
      <c r="G399">
        <v>104108</v>
      </c>
      <c r="H399">
        <f>2056+2217</f>
        <v>4273</v>
      </c>
      <c r="I399" s="30">
        <f>G399-H399</f>
        <v>99835</v>
      </c>
      <c r="J399" s="144" t="s">
        <v>365</v>
      </c>
      <c r="K399">
        <v>1926</v>
      </c>
    </row>
    <row r="400">
      <c r="A400">
        <v>2024</v>
      </c>
      <c r="B400" t="s">
        <v>341</v>
      </c>
      <c r="C400" t="s">
        <v>163</v>
      </c>
      <c r="D400">
        <v>43</v>
      </c>
      <c r="E400" t="s">
        <v>13</v>
      </c>
      <c r="F400">
        <v>182507</v>
      </c>
      <c r="G400">
        <v>104108</v>
      </c>
      <c r="H400">
        <f>2056+2217</f>
        <v>4273</v>
      </c>
      <c r="I400" s="30">
        <f>G400-H400</f>
        <v>99835</v>
      </c>
      <c r="J400" s="144" t="s">
        <v>14</v>
      </c>
      <c r="K400">
        <v>1145</v>
      </c>
    </row>
    <row r="401">
      <c r="A401">
        <v>2024</v>
      </c>
      <c r="B401" t="s">
        <v>341</v>
      </c>
      <c r="C401" t="s">
        <v>163</v>
      </c>
      <c r="D401">
        <v>43</v>
      </c>
      <c r="E401" t="s">
        <v>13</v>
      </c>
      <c r="F401">
        <v>182507</v>
      </c>
      <c r="G401">
        <v>104108</v>
      </c>
      <c r="H401">
        <f>2056+2217</f>
        <v>4273</v>
      </c>
      <c r="I401" s="30">
        <f>G401-H401</f>
        <v>99835</v>
      </c>
      <c r="J401" s="144" t="s">
        <v>365</v>
      </c>
      <c r="K401">
        <v>1016</v>
      </c>
    </row>
    <row r="402">
      <c r="A402">
        <v>2024</v>
      </c>
      <c r="B402" t="s">
        <v>341</v>
      </c>
      <c r="C402" t="s">
        <v>163</v>
      </c>
      <c r="D402">
        <v>43</v>
      </c>
      <c r="E402" t="s">
        <v>13</v>
      </c>
      <c r="F402">
        <v>182507</v>
      </c>
      <c r="G402">
        <v>104108</v>
      </c>
      <c r="H402">
        <f>2056+2217</f>
        <v>4273</v>
      </c>
      <c r="I402" s="30">
        <f>G402-H402</f>
        <v>99835</v>
      </c>
      <c r="J402" s="144" t="s">
        <v>49</v>
      </c>
      <c r="K402">
        <v>909</v>
      </c>
    </row>
    <row r="403">
      <c r="A403">
        <v>2024</v>
      </c>
      <c r="B403" t="s">
        <v>341</v>
      </c>
      <c r="C403" t="s">
        <v>163</v>
      </c>
      <c r="D403">
        <v>43</v>
      </c>
      <c r="E403" t="s">
        <v>13</v>
      </c>
      <c r="F403">
        <v>182507</v>
      </c>
      <c r="G403">
        <v>104108</v>
      </c>
      <c r="H403">
        <f>2056+2217</f>
        <v>4273</v>
      </c>
      <c r="I403" s="30">
        <f>G403-H403</f>
        <v>99835</v>
      </c>
      <c r="J403" s="144" t="s">
        <v>23</v>
      </c>
      <c r="K403">
        <v>610</v>
      </c>
    </row>
    <row r="404">
      <c r="A404">
        <v>2024</v>
      </c>
      <c r="B404" t="s">
        <v>341</v>
      </c>
      <c r="C404" t="s">
        <v>163</v>
      </c>
      <c r="D404">
        <v>43</v>
      </c>
      <c r="E404" t="s">
        <v>13</v>
      </c>
      <c r="F404">
        <v>182507</v>
      </c>
      <c r="G404">
        <v>104108</v>
      </c>
      <c r="H404">
        <f>2056+2217</f>
        <v>4273</v>
      </c>
      <c r="I404" s="30">
        <f>G404-H404</f>
        <v>99835</v>
      </c>
      <c r="J404" s="144" t="s">
        <v>14</v>
      </c>
      <c r="K404">
        <v>416</v>
      </c>
    </row>
    <row r="405">
      <c r="A405">
        <v>2024</v>
      </c>
      <c r="B405" t="s">
        <v>341</v>
      </c>
      <c r="C405" t="s">
        <v>163</v>
      </c>
      <c r="D405">
        <v>43</v>
      </c>
      <c r="E405" t="s">
        <v>13</v>
      </c>
      <c r="F405">
        <v>182507</v>
      </c>
      <c r="G405">
        <v>104108</v>
      </c>
      <c r="H405">
        <f>2056+2217</f>
        <v>4273</v>
      </c>
      <c r="I405" s="30">
        <f>G405-H405</f>
        <v>99835</v>
      </c>
      <c r="J405" s="144" t="s">
        <v>14</v>
      </c>
      <c r="K405">
        <v>172</v>
      </c>
    </row>
    <row r="406">
      <c r="A406">
        <v>2024</v>
      </c>
      <c r="B406" t="s">
        <v>341</v>
      </c>
      <c r="C406" t="s">
        <v>163</v>
      </c>
      <c r="D406">
        <v>43</v>
      </c>
      <c r="E406" t="s">
        <v>13</v>
      </c>
      <c r="F406">
        <v>182507</v>
      </c>
      <c r="G406">
        <v>104108</v>
      </c>
      <c r="H406">
        <f>2056+2217</f>
        <v>4273</v>
      </c>
      <c r="I406" s="30">
        <f>G406-H406</f>
        <v>99835</v>
      </c>
      <c r="J406" s="144" t="s">
        <v>43</v>
      </c>
      <c r="K406">
        <v>169</v>
      </c>
    </row>
    <row r="407">
      <c r="A407">
        <v>2024</v>
      </c>
      <c r="B407" t="s">
        <v>341</v>
      </c>
      <c r="C407" t="s">
        <v>163</v>
      </c>
      <c r="D407">
        <v>43</v>
      </c>
      <c r="E407" t="s">
        <v>13</v>
      </c>
      <c r="F407">
        <v>182507</v>
      </c>
      <c r="G407">
        <v>104108</v>
      </c>
      <c r="H407">
        <f>2056+2217</f>
        <v>4273</v>
      </c>
      <c r="I407" s="30">
        <f>G407-H407</f>
        <v>99835</v>
      </c>
      <c r="J407" s="144" t="s">
        <v>23</v>
      </c>
      <c r="K407">
        <v>158</v>
      </c>
    </row>
    <row r="408">
      <c r="A408">
        <v>2024</v>
      </c>
      <c r="B408" t="s">
        <v>341</v>
      </c>
      <c r="C408" t="s">
        <v>163</v>
      </c>
      <c r="D408">
        <v>43</v>
      </c>
      <c r="E408" t="s">
        <v>13</v>
      </c>
      <c r="F408">
        <v>182507</v>
      </c>
      <c r="G408">
        <v>104108</v>
      </c>
      <c r="H408">
        <f>2056+2217</f>
        <v>4273</v>
      </c>
      <c r="I408" s="30">
        <f>G408-H408</f>
        <v>99835</v>
      </c>
      <c r="J408" s="144" t="s">
        <v>23</v>
      </c>
      <c r="K408">
        <v>73</v>
      </c>
    </row>
    <row r="409">
      <c r="A409">
        <v>2024</v>
      </c>
      <c r="B409" t="s">
        <v>341</v>
      </c>
      <c r="C409" t="s">
        <v>163</v>
      </c>
      <c r="D409">
        <v>43</v>
      </c>
      <c r="E409" t="s">
        <v>13</v>
      </c>
      <c r="F409">
        <v>182507</v>
      </c>
      <c r="G409">
        <v>104108</v>
      </c>
      <c r="H409">
        <f>2056+2217</f>
        <v>4273</v>
      </c>
      <c r="I409" s="30">
        <f>G409-H409</f>
        <v>99835</v>
      </c>
      <c r="J409" s="144" t="s">
        <v>365</v>
      </c>
      <c r="K409">
        <v>72</v>
      </c>
    </row>
    <row r="410">
      <c r="A410">
        <v>2024</v>
      </c>
      <c r="B410" t="s">
        <v>341</v>
      </c>
      <c r="C410" t="s">
        <v>163</v>
      </c>
      <c r="D410">
        <v>43</v>
      </c>
      <c r="E410" t="s">
        <v>13</v>
      </c>
      <c r="F410">
        <v>182507</v>
      </c>
      <c r="G410">
        <v>104108</v>
      </c>
      <c r="H410">
        <f>2056+2217</f>
        <v>4273</v>
      </c>
      <c r="I410" s="30">
        <f>G410-H410</f>
        <v>99835</v>
      </c>
      <c r="J410" s="144" t="s">
        <v>365</v>
      </c>
      <c r="K410">
        <v>44</v>
      </c>
    </row>
    <row r="411">
      <c r="A411">
        <v>2024</v>
      </c>
      <c r="B411" t="s">
        <v>341</v>
      </c>
      <c r="C411" t="s">
        <v>163</v>
      </c>
      <c r="D411">
        <v>43</v>
      </c>
      <c r="E411" t="s">
        <v>13</v>
      </c>
      <c r="F411">
        <v>182507</v>
      </c>
      <c r="G411">
        <v>104108</v>
      </c>
      <c r="H411">
        <f>2056+2217</f>
        <v>4273</v>
      </c>
      <c r="I411" s="30">
        <f>G411-H411</f>
        <v>99835</v>
      </c>
      <c r="J411" s="144" t="s">
        <v>365</v>
      </c>
      <c r="K411">
        <v>44</v>
      </c>
    </row>
    <row r="412">
      <c r="A412">
        <v>2024</v>
      </c>
      <c r="B412" t="s">
        <v>341</v>
      </c>
      <c r="C412" t="s">
        <v>163</v>
      </c>
      <c r="D412">
        <v>43</v>
      </c>
      <c r="E412" t="s">
        <v>13</v>
      </c>
      <c r="F412">
        <v>182507</v>
      </c>
      <c r="G412">
        <v>104108</v>
      </c>
      <c r="H412">
        <f>2056+2217</f>
        <v>4273</v>
      </c>
      <c r="I412" s="30">
        <f>G412-H412</f>
        <v>99835</v>
      </c>
      <c r="J412" s="144" t="s">
        <v>49</v>
      </c>
      <c r="K412">
        <v>34</v>
      </c>
    </row>
    <row r="413">
      <c r="A413">
        <v>2024</v>
      </c>
      <c r="B413" t="s">
        <v>341</v>
      </c>
      <c r="C413" t="s">
        <v>163</v>
      </c>
      <c r="D413">
        <v>43</v>
      </c>
      <c r="E413" t="s">
        <v>13</v>
      </c>
      <c r="F413">
        <v>182507</v>
      </c>
      <c r="G413">
        <v>104108</v>
      </c>
      <c r="H413">
        <f>2056+2217</f>
        <v>4273</v>
      </c>
      <c r="I413" s="30">
        <f>G413-H413</f>
        <v>99835</v>
      </c>
      <c r="J413" s="144" t="s">
        <v>365</v>
      </c>
      <c r="K413">
        <v>30</v>
      </c>
    </row>
    <row r="414">
      <c r="A414">
        <v>2024</v>
      </c>
      <c r="B414" t="s">
        <v>341</v>
      </c>
      <c r="C414" t="s">
        <v>163</v>
      </c>
      <c r="D414">
        <v>43</v>
      </c>
      <c r="E414" t="s">
        <v>13</v>
      </c>
      <c r="F414">
        <v>182507</v>
      </c>
      <c r="G414">
        <v>104108</v>
      </c>
      <c r="H414">
        <f>2056+2217</f>
        <v>4273</v>
      </c>
      <c r="I414" s="30">
        <f>G414-H414</f>
        <v>99835</v>
      </c>
      <c r="J414" s="144" t="s">
        <v>365</v>
      </c>
      <c r="K414">
        <v>17</v>
      </c>
    </row>
    <row r="415">
      <c r="A415">
        <v>2024</v>
      </c>
      <c r="B415" t="s">
        <v>341</v>
      </c>
      <c r="C415" t="s">
        <v>163</v>
      </c>
      <c r="D415">
        <v>43</v>
      </c>
      <c r="E415" t="s">
        <v>13</v>
      </c>
      <c r="F415">
        <v>182507</v>
      </c>
      <c r="G415">
        <v>104108</v>
      </c>
      <c r="H415">
        <f>2056+2217</f>
        <v>4273</v>
      </c>
      <c r="I415" s="30">
        <f>G415-H415</f>
        <v>99835</v>
      </c>
      <c r="J415" s="144" t="s">
        <v>23</v>
      </c>
      <c r="K415">
        <v>10</v>
      </c>
    </row>
    <row r="416">
      <c r="A416">
        <v>2024</v>
      </c>
      <c r="B416" t="s">
        <v>341</v>
      </c>
      <c r="C416" t="s">
        <v>163</v>
      </c>
      <c r="D416">
        <v>43</v>
      </c>
      <c r="E416" t="s">
        <v>13</v>
      </c>
      <c r="F416">
        <v>182507</v>
      </c>
      <c r="G416">
        <v>104108</v>
      </c>
      <c r="H416">
        <f>2056+2217</f>
        <v>4273</v>
      </c>
      <c r="I416" s="30">
        <f>G416-H416</f>
        <v>99835</v>
      </c>
      <c r="J416" s="144" t="s">
        <v>365</v>
      </c>
      <c r="K416">
        <v>9</v>
      </c>
    </row>
    <row r="417">
      <c r="A417">
        <v>2024</v>
      </c>
      <c r="B417" t="s">
        <v>341</v>
      </c>
      <c r="C417" t="s">
        <v>163</v>
      </c>
      <c r="D417">
        <v>43</v>
      </c>
      <c r="E417" t="s">
        <v>13</v>
      </c>
      <c r="F417">
        <v>182507</v>
      </c>
      <c r="G417">
        <v>104108</v>
      </c>
      <c r="H417">
        <f>2056+2217</f>
        <v>4273</v>
      </c>
      <c r="I417" s="30">
        <f>G417-H417</f>
        <v>99835</v>
      </c>
      <c r="J417" s="144" t="s">
        <v>43</v>
      </c>
      <c r="K417">
        <v>8</v>
      </c>
    </row>
    <row r="418">
      <c r="A418">
        <v>2024</v>
      </c>
      <c r="B418" t="s">
        <v>341</v>
      </c>
      <c r="C418" t="s">
        <v>163</v>
      </c>
      <c r="D418">
        <v>43</v>
      </c>
      <c r="E418" t="s">
        <v>13</v>
      </c>
      <c r="F418">
        <v>182507</v>
      </c>
      <c r="G418">
        <v>104108</v>
      </c>
      <c r="H418">
        <f>2056+2217</f>
        <v>4273</v>
      </c>
      <c r="I418" s="30">
        <f>G418-H418</f>
        <v>99835</v>
      </c>
      <c r="J418" s="144" t="s">
        <v>365</v>
      </c>
      <c r="K418">
        <v>5</v>
      </c>
    </row>
    <row r="419">
      <c r="A419">
        <v>2024</v>
      </c>
      <c r="B419" t="s">
        <v>341</v>
      </c>
      <c r="C419" t="s">
        <v>163</v>
      </c>
      <c r="D419">
        <v>43</v>
      </c>
      <c r="E419" t="s">
        <v>13</v>
      </c>
      <c r="F419">
        <v>182507</v>
      </c>
      <c r="G419">
        <v>104108</v>
      </c>
      <c r="H419">
        <f>2056+2217</f>
        <v>4273</v>
      </c>
      <c r="I419" s="30">
        <f>G419-H419</f>
        <v>99835</v>
      </c>
      <c r="J419" s="144" t="s">
        <v>365</v>
      </c>
      <c r="K419">
        <v>5</v>
      </c>
    </row>
    <row r="420">
      <c r="A420">
        <v>2024</v>
      </c>
      <c r="B420" t="s">
        <v>341</v>
      </c>
      <c r="C420" t="s">
        <v>163</v>
      </c>
      <c r="D420">
        <v>43</v>
      </c>
      <c r="E420" t="s">
        <v>13</v>
      </c>
      <c r="F420">
        <v>182507</v>
      </c>
      <c r="G420">
        <v>104108</v>
      </c>
      <c r="H420">
        <f>2056+2217</f>
        <v>4273</v>
      </c>
      <c r="I420" s="30">
        <f>G420-H420</f>
        <v>99835</v>
      </c>
      <c r="J420" s="144" t="s">
        <v>23</v>
      </c>
      <c r="K420">
        <v>3</v>
      </c>
    </row>
    <row r="421">
      <c r="A421">
        <v>2024</v>
      </c>
      <c r="B421" t="s">
        <v>341</v>
      </c>
      <c r="C421" t="s">
        <v>163</v>
      </c>
      <c r="D421">
        <v>43</v>
      </c>
      <c r="E421" t="s">
        <v>13</v>
      </c>
      <c r="F421">
        <v>182507</v>
      </c>
      <c r="G421">
        <v>104108</v>
      </c>
      <c r="H421">
        <f>2056+2217</f>
        <v>4273</v>
      </c>
      <c r="I421" s="30">
        <f>G421-H421</f>
        <v>99835</v>
      </c>
      <c r="J421" s="144" t="s">
        <v>365</v>
      </c>
      <c r="K421">
        <v>3</v>
      </c>
    </row>
    <row r="422">
      <c r="A422">
        <v>2024</v>
      </c>
      <c r="B422" t="s">
        <v>341</v>
      </c>
      <c r="C422" t="s">
        <v>163</v>
      </c>
      <c r="D422">
        <v>43</v>
      </c>
      <c r="E422" t="s">
        <v>13</v>
      </c>
      <c r="F422">
        <v>182507</v>
      </c>
      <c r="G422">
        <v>104108</v>
      </c>
      <c r="H422">
        <f>2056+2217</f>
        <v>4273</v>
      </c>
      <c r="I422" s="30">
        <f>G422-H422</f>
        <v>99835</v>
      </c>
      <c r="J422" s="144" t="s">
        <v>365</v>
      </c>
      <c r="K422">
        <v>2</v>
      </c>
    </row>
    <row r="423">
      <c r="A423">
        <v>2024</v>
      </c>
      <c r="B423" t="s">
        <v>341</v>
      </c>
      <c r="C423" t="s">
        <v>163</v>
      </c>
      <c r="D423">
        <v>43</v>
      </c>
      <c r="E423" t="s">
        <v>13</v>
      </c>
      <c r="F423">
        <v>182507</v>
      </c>
      <c r="G423">
        <v>104108</v>
      </c>
      <c r="H423">
        <f>2056+2217</f>
        <v>4273</v>
      </c>
      <c r="I423" s="30">
        <f>G423-H423</f>
        <v>99835</v>
      </c>
      <c r="J423" s="144" t="s">
        <v>365</v>
      </c>
      <c r="K423">
        <v>2</v>
      </c>
    </row>
    <row r="424">
      <c r="A424">
        <v>2024</v>
      </c>
      <c r="B424" t="s">
        <v>341</v>
      </c>
      <c r="C424" t="s">
        <v>163</v>
      </c>
      <c r="D424">
        <v>43</v>
      </c>
      <c r="E424" t="s">
        <v>13</v>
      </c>
      <c r="F424">
        <v>182507</v>
      </c>
      <c r="G424">
        <v>104108</v>
      </c>
      <c r="H424">
        <f>2056+2217</f>
        <v>4273</v>
      </c>
      <c r="I424" s="30">
        <f>G424-H424</f>
        <v>99835</v>
      </c>
      <c r="J424" s="144" t="s">
        <v>365</v>
      </c>
      <c r="K424">
        <v>1</v>
      </c>
    </row>
    <row r="425">
      <c r="A425">
        <v>2024</v>
      </c>
      <c r="B425" t="s">
        <v>341</v>
      </c>
      <c r="C425" t="s">
        <v>163</v>
      </c>
      <c r="D425">
        <v>43</v>
      </c>
      <c r="E425" t="s">
        <v>13</v>
      </c>
      <c r="F425">
        <v>182507</v>
      </c>
      <c r="G425">
        <v>104108</v>
      </c>
      <c r="H425">
        <f>2056+2217</f>
        <v>4273</v>
      </c>
      <c r="I425" s="30">
        <f>G425-H425</f>
        <v>99835</v>
      </c>
      <c r="J425" s="144" t="s">
        <v>365</v>
      </c>
      <c r="K425">
        <v>0</v>
      </c>
    </row>
    <row r="426">
      <c r="A426">
        <v>2024</v>
      </c>
      <c r="B426" t="s">
        <v>341</v>
      </c>
      <c r="C426" t="s">
        <v>163</v>
      </c>
      <c r="D426">
        <v>43</v>
      </c>
      <c r="E426" t="s">
        <v>13</v>
      </c>
      <c r="F426">
        <v>182507</v>
      </c>
      <c r="G426">
        <v>104108</v>
      </c>
      <c r="H426">
        <f>2056+2217</f>
        <v>4273</v>
      </c>
      <c r="I426" s="30">
        <f>G426-H426</f>
        <v>99835</v>
      </c>
      <c r="J426" s="144" t="s">
        <v>365</v>
      </c>
      <c r="K426">
        <v>0</v>
      </c>
    </row>
    <row r="427">
      <c r="A427">
        <v>2024</v>
      </c>
      <c r="B427" t="s">
        <v>341</v>
      </c>
      <c r="C427" t="s">
        <v>163</v>
      </c>
      <c r="D427">
        <v>43</v>
      </c>
      <c r="E427" t="s">
        <v>13</v>
      </c>
      <c r="F427">
        <v>182507</v>
      </c>
      <c r="G427">
        <v>104108</v>
      </c>
      <c r="H427">
        <f>2056+2217</f>
        <v>4273</v>
      </c>
      <c r="I427" s="30">
        <f>G427-H427</f>
        <v>99835</v>
      </c>
      <c r="J427" s="144" t="s">
        <v>23</v>
      </c>
      <c r="K427">
        <v>0</v>
      </c>
    </row>
    <row r="428">
      <c r="A428" s="22">
        <v>2024</v>
      </c>
      <c r="B428" s="23" t="s">
        <v>164</v>
      </c>
      <c r="C428" s="23" t="s">
        <v>163</v>
      </c>
      <c r="D428" s="23" t="s">
        <v>11</v>
      </c>
      <c r="E428" s="23" t="s">
        <v>13</v>
      </c>
      <c r="F428" s="23">
        <v>49332709</v>
      </c>
      <c r="G428" s="23">
        <v>32908657</v>
      </c>
      <c r="H428" s="23">
        <f>582908+267803</f>
        <v>850711</v>
      </c>
      <c r="I428" s="31">
        <f>G428-H428</f>
        <v>32057946</v>
      </c>
      <c r="J428" s="145" t="s">
        <v>37</v>
      </c>
      <c r="K428" s="23">
        <v>9379092</v>
      </c>
    </row>
    <row r="429">
      <c r="A429" s="25">
        <v>2024</v>
      </c>
      <c r="B429" t="s">
        <v>164</v>
      </c>
      <c r="C429" t="s">
        <v>163</v>
      </c>
      <c r="D429" t="s">
        <v>11</v>
      </c>
      <c r="E429" t="s">
        <v>13</v>
      </c>
      <c r="F429">
        <v>49332709</v>
      </c>
      <c r="G429">
        <v>32908657</v>
      </c>
      <c r="H429">
        <f>582908+267803</f>
        <v>850711</v>
      </c>
      <c r="I429" s="30">
        <f>G429-H429</f>
        <v>32057946</v>
      </c>
      <c r="J429" s="144" t="s">
        <v>41</v>
      </c>
      <c r="K429">
        <v>8995226</v>
      </c>
    </row>
    <row r="430">
      <c r="A430" s="25">
        <v>2024</v>
      </c>
      <c r="B430" t="s">
        <v>164</v>
      </c>
      <c r="C430" t="s">
        <v>163</v>
      </c>
      <c r="D430" t="s">
        <v>11</v>
      </c>
      <c r="E430" t="s">
        <v>13</v>
      </c>
      <c r="F430">
        <v>49332709</v>
      </c>
      <c r="G430">
        <v>32908657</v>
      </c>
      <c r="H430">
        <f>582908+267803</f>
        <v>850711</v>
      </c>
      <c r="I430" s="30">
        <f>G430-H430</f>
        <v>32057946</v>
      </c>
      <c r="J430" s="144" t="s">
        <v>36</v>
      </c>
      <c r="K430">
        <v>6425707</v>
      </c>
    </row>
    <row r="431">
      <c r="A431" s="25">
        <v>2024</v>
      </c>
      <c r="B431" t="s">
        <v>164</v>
      </c>
      <c r="C431" t="s">
        <v>163</v>
      </c>
      <c r="D431" t="s">
        <v>11</v>
      </c>
      <c r="E431" t="s">
        <v>13</v>
      </c>
      <c r="F431">
        <v>49332709</v>
      </c>
      <c r="G431">
        <v>32908657</v>
      </c>
      <c r="H431">
        <f>582908+267803</f>
        <v>850711</v>
      </c>
      <c r="I431" s="30">
        <f>G431-H431</f>
        <v>32057946</v>
      </c>
      <c r="J431" s="144" t="s">
        <v>31</v>
      </c>
      <c r="K431">
        <v>2106166</v>
      </c>
    </row>
    <row r="432">
      <c r="A432" s="25">
        <v>2024</v>
      </c>
      <c r="B432" t="s">
        <v>164</v>
      </c>
      <c r="C432" t="s">
        <v>163</v>
      </c>
      <c r="D432" t="s">
        <v>11</v>
      </c>
      <c r="E432" t="s">
        <v>13</v>
      </c>
      <c r="F432">
        <v>49332709</v>
      </c>
      <c r="G432">
        <v>32908657</v>
      </c>
      <c r="H432">
        <f>582908+267803</f>
        <v>850711</v>
      </c>
      <c r="I432" s="30">
        <f>G432-H432</f>
        <v>32057946</v>
      </c>
      <c r="J432" s="144" t="s">
        <v>42</v>
      </c>
      <c r="K432">
        <v>1268822</v>
      </c>
    </row>
    <row r="433">
      <c r="A433" s="25">
        <v>2024</v>
      </c>
      <c r="B433" t="s">
        <v>164</v>
      </c>
      <c r="C433" t="s">
        <v>163</v>
      </c>
      <c r="D433" t="s">
        <v>11</v>
      </c>
      <c r="E433" t="s">
        <v>13</v>
      </c>
      <c r="F433">
        <v>49332709</v>
      </c>
      <c r="G433">
        <v>32908657</v>
      </c>
      <c r="H433">
        <f>582908+267803</f>
        <v>850711</v>
      </c>
      <c r="I433" s="30">
        <f>G433-H433</f>
        <v>32057946</v>
      </c>
      <c r="J433" s="144" t="s">
        <v>26</v>
      </c>
      <c r="K433">
        <v>1154785</v>
      </c>
    </row>
    <row r="434">
      <c r="A434" s="25">
        <v>2024</v>
      </c>
      <c r="B434" t="s">
        <v>164</v>
      </c>
      <c r="C434" t="s">
        <v>163</v>
      </c>
      <c r="D434" t="s">
        <v>11</v>
      </c>
      <c r="E434" t="s">
        <v>13</v>
      </c>
      <c r="F434">
        <v>49332709</v>
      </c>
      <c r="G434">
        <v>32908657</v>
      </c>
      <c r="H434">
        <f>582908+267803</f>
        <v>850711</v>
      </c>
      <c r="I434" s="30">
        <f>G434-H434</f>
        <v>32057946</v>
      </c>
      <c r="J434" s="144" t="s">
        <v>43</v>
      </c>
      <c r="K434">
        <v>490898</v>
      </c>
    </row>
    <row r="435">
      <c r="A435" s="25">
        <v>2024</v>
      </c>
      <c r="B435" t="s">
        <v>164</v>
      </c>
      <c r="C435" t="s">
        <v>163</v>
      </c>
      <c r="D435" t="s">
        <v>11</v>
      </c>
      <c r="E435" t="s">
        <v>13</v>
      </c>
      <c r="F435">
        <v>49332709</v>
      </c>
      <c r="G435">
        <v>32908657</v>
      </c>
      <c r="H435">
        <f>582908+267803</f>
        <v>850711</v>
      </c>
      <c r="I435" s="30">
        <f>G435-H435</f>
        <v>32057946</v>
      </c>
      <c r="J435" s="144" t="s">
        <v>44</v>
      </c>
      <c r="K435">
        <v>391423</v>
      </c>
    </row>
    <row r="436">
      <c r="A436" s="25">
        <v>2024</v>
      </c>
      <c r="B436" t="s">
        <v>164</v>
      </c>
      <c r="C436" t="s">
        <v>163</v>
      </c>
      <c r="D436" t="s">
        <v>11</v>
      </c>
      <c r="E436" t="s">
        <v>13</v>
      </c>
      <c r="F436">
        <v>49332709</v>
      </c>
      <c r="G436">
        <v>32908657</v>
      </c>
      <c r="H436">
        <f>582908+267803</f>
        <v>850711</v>
      </c>
      <c r="I436" s="30">
        <f>G436-H436</f>
        <v>32057946</v>
      </c>
      <c r="J436" s="144" t="s">
        <v>23</v>
      </c>
      <c r="K436">
        <v>366594</v>
      </c>
    </row>
    <row r="437">
      <c r="A437" s="25">
        <v>2024</v>
      </c>
      <c r="B437" t="s">
        <v>164</v>
      </c>
      <c r="C437" t="s">
        <v>163</v>
      </c>
      <c r="D437" t="s">
        <v>11</v>
      </c>
      <c r="E437" t="s">
        <v>13</v>
      </c>
      <c r="F437">
        <v>49332709</v>
      </c>
      <c r="G437">
        <v>32908657</v>
      </c>
      <c r="H437">
        <f>582908+267803</f>
        <v>850711</v>
      </c>
      <c r="I437" s="30">
        <f>G437-H437</f>
        <v>32057946</v>
      </c>
      <c r="J437" s="144" t="s">
        <v>45</v>
      </c>
      <c r="K437">
        <v>310727</v>
      </c>
    </row>
    <row r="438">
      <c r="A438" s="25">
        <v>2024</v>
      </c>
      <c r="B438" t="s">
        <v>164</v>
      </c>
      <c r="C438" t="s">
        <v>163</v>
      </c>
      <c r="D438" t="s">
        <v>11</v>
      </c>
      <c r="E438" t="s">
        <v>13</v>
      </c>
      <c r="F438">
        <v>49332709</v>
      </c>
      <c r="G438">
        <v>32908657</v>
      </c>
      <c r="H438">
        <f>582908+267803</f>
        <v>850711</v>
      </c>
      <c r="I438" s="30">
        <f>G438-H438</f>
        <v>32057946</v>
      </c>
      <c r="J438" s="144" t="s">
        <v>39</v>
      </c>
      <c r="K438">
        <v>238934</v>
      </c>
    </row>
    <row r="439">
      <c r="A439" s="25">
        <v>2024</v>
      </c>
      <c r="B439" t="s">
        <v>164</v>
      </c>
      <c r="C439" t="s">
        <v>163</v>
      </c>
      <c r="D439" t="s">
        <v>11</v>
      </c>
      <c r="E439" t="s">
        <v>13</v>
      </c>
      <c r="F439">
        <v>49332709</v>
      </c>
      <c r="G439">
        <v>32908657</v>
      </c>
      <c r="H439">
        <f>582908+267803</f>
        <v>850711</v>
      </c>
      <c r="I439" s="30">
        <f>G439-H439</f>
        <v>32057946</v>
      </c>
      <c r="J439" s="144" t="s">
        <v>46</v>
      </c>
      <c r="K439">
        <v>231667</v>
      </c>
    </row>
    <row r="440">
      <c r="A440" s="25">
        <v>2024</v>
      </c>
      <c r="B440" t="s">
        <v>164</v>
      </c>
      <c r="C440" t="s">
        <v>163</v>
      </c>
      <c r="D440" t="s">
        <v>11</v>
      </c>
      <c r="E440" t="s">
        <v>13</v>
      </c>
      <c r="F440">
        <v>49332709</v>
      </c>
      <c r="G440">
        <v>32908657</v>
      </c>
      <c r="H440">
        <f>582908+267803</f>
        <v>850711</v>
      </c>
      <c r="I440" s="30">
        <f>G440-H440</f>
        <v>32057946</v>
      </c>
      <c r="J440" s="144" t="s">
        <v>14</v>
      </c>
      <c r="K440">
        <v>182478</v>
      </c>
    </row>
    <row r="441">
      <c r="A441" s="25">
        <v>2024</v>
      </c>
      <c r="B441" t="s">
        <v>164</v>
      </c>
      <c r="C441" t="s">
        <v>163</v>
      </c>
      <c r="D441" t="s">
        <v>11</v>
      </c>
      <c r="E441" t="s">
        <v>13</v>
      </c>
      <c r="F441">
        <v>49332709</v>
      </c>
      <c r="G441">
        <v>32908657</v>
      </c>
      <c r="H441">
        <f>582908+267803</f>
        <v>850711</v>
      </c>
      <c r="I441" s="30">
        <f>G441-H441</f>
        <v>32057946</v>
      </c>
      <c r="J441" s="144" t="s">
        <v>47</v>
      </c>
      <c r="K441">
        <v>163072</v>
      </c>
    </row>
    <row r="442">
      <c r="A442" s="25">
        <v>2024</v>
      </c>
      <c r="B442" t="s">
        <v>164</v>
      </c>
      <c r="C442" t="s">
        <v>163</v>
      </c>
      <c r="D442" t="s">
        <v>11</v>
      </c>
      <c r="E442" t="s">
        <v>13</v>
      </c>
      <c r="F442">
        <v>49332709</v>
      </c>
      <c r="G442">
        <v>32908657</v>
      </c>
      <c r="H442">
        <f>582908+267803</f>
        <v>850711</v>
      </c>
      <c r="I442" s="30">
        <f>G442-H442</f>
        <v>32057946</v>
      </c>
      <c r="J442" s="144" t="s">
        <v>35</v>
      </c>
      <c r="K442">
        <v>142871</v>
      </c>
    </row>
    <row r="443">
      <c r="A443" s="25">
        <v>2024</v>
      </c>
      <c r="B443" t="s">
        <v>164</v>
      </c>
      <c r="C443" t="s">
        <v>163</v>
      </c>
      <c r="D443" t="s">
        <v>11</v>
      </c>
      <c r="E443" t="s">
        <v>13</v>
      </c>
      <c r="F443">
        <v>49332709</v>
      </c>
      <c r="G443">
        <v>32908657</v>
      </c>
      <c r="H443">
        <f>582908+267803</f>
        <v>850711</v>
      </c>
      <c r="I443" s="30">
        <f>G443-H443</f>
        <v>32057946</v>
      </c>
      <c r="J443" s="144" t="s">
        <v>48</v>
      </c>
      <c r="K443">
        <v>90110</v>
      </c>
    </row>
    <row r="444">
      <c r="A444" s="25">
        <v>2024</v>
      </c>
      <c r="B444" t="s">
        <v>164</v>
      </c>
      <c r="C444" t="s">
        <v>163</v>
      </c>
      <c r="D444" t="s">
        <v>11</v>
      </c>
      <c r="E444" t="s">
        <v>13</v>
      </c>
      <c r="F444">
        <v>49332709</v>
      </c>
      <c r="G444">
        <v>32908657</v>
      </c>
      <c r="H444">
        <f>582908+267803</f>
        <v>850711</v>
      </c>
      <c r="I444" s="30">
        <f>G444-H444</f>
        <v>32057946</v>
      </c>
      <c r="J444" s="144" t="s">
        <v>49</v>
      </c>
      <c r="K444">
        <v>59679</v>
      </c>
    </row>
    <row r="445">
      <c r="A445" s="25">
        <v>2024</v>
      </c>
      <c r="B445" t="s">
        <v>164</v>
      </c>
      <c r="C445" t="s">
        <v>163</v>
      </c>
      <c r="D445" t="s">
        <v>11</v>
      </c>
      <c r="E445" t="s">
        <v>13</v>
      </c>
      <c r="F445">
        <v>49332709</v>
      </c>
      <c r="G445">
        <v>32908657</v>
      </c>
      <c r="H445">
        <f>582908+267803</f>
        <v>850711</v>
      </c>
      <c r="I445" s="30">
        <f>G445-H445</f>
        <v>32057946</v>
      </c>
      <c r="J445" s="144" t="s">
        <v>33</v>
      </c>
      <c r="K445">
        <v>29242</v>
      </c>
    </row>
    <row r="446">
      <c r="A446" s="25">
        <v>2024</v>
      </c>
      <c r="B446" t="s">
        <v>164</v>
      </c>
      <c r="C446" t="s">
        <v>163</v>
      </c>
      <c r="D446" t="s">
        <v>11</v>
      </c>
      <c r="E446" t="s">
        <v>13</v>
      </c>
      <c r="F446">
        <v>49332709</v>
      </c>
      <c r="G446">
        <v>32908657</v>
      </c>
      <c r="H446">
        <f>582908+267803</f>
        <v>850711</v>
      </c>
      <c r="I446" s="30">
        <f>G446-H446</f>
        <v>32057946</v>
      </c>
      <c r="J446" s="144" t="s">
        <v>50</v>
      </c>
      <c r="K446">
        <v>12434</v>
      </c>
    </row>
    <row r="447">
      <c r="A447" s="25">
        <v>2024</v>
      </c>
      <c r="B447" t="s">
        <v>164</v>
      </c>
      <c r="C447" t="s">
        <v>163</v>
      </c>
      <c r="D447" t="s">
        <v>11</v>
      </c>
      <c r="E447" t="s">
        <v>13</v>
      </c>
      <c r="F447">
        <v>49332709</v>
      </c>
      <c r="G447">
        <v>32908657</v>
      </c>
      <c r="H447">
        <f>582908+267803</f>
        <v>850711</v>
      </c>
      <c r="I447" s="30">
        <f>G447-H447</f>
        <v>32057946</v>
      </c>
      <c r="J447" s="144" t="s">
        <v>32</v>
      </c>
      <c r="K447">
        <v>12224</v>
      </c>
    </row>
    <row r="448">
      <c r="A448" s="25">
        <v>2024</v>
      </c>
      <c r="B448" t="s">
        <v>164</v>
      </c>
      <c r="C448" t="s">
        <v>163</v>
      </c>
      <c r="D448" t="s">
        <v>11</v>
      </c>
      <c r="E448" t="s">
        <v>13</v>
      </c>
      <c r="F448">
        <v>49332709</v>
      </c>
      <c r="G448">
        <v>32908657</v>
      </c>
      <c r="H448">
        <f>582908+267803</f>
        <v>850711</v>
      </c>
      <c r="I448" s="30">
        <f>G448-H448</f>
        <v>32057946</v>
      </c>
      <c r="J448" s="144" t="s">
        <v>40</v>
      </c>
      <c r="K448">
        <v>3125</v>
      </c>
    </row>
    <row r="449">
      <c r="A449" s="27">
        <v>2024</v>
      </c>
      <c r="B449" s="28" t="s">
        <v>164</v>
      </c>
      <c r="C449" s="28" t="s">
        <v>163</v>
      </c>
      <c r="D449" s="28" t="s">
        <v>11</v>
      </c>
      <c r="E449" s="28" t="s">
        <v>13</v>
      </c>
      <c r="F449" s="28">
        <v>49332709</v>
      </c>
      <c r="G449" s="28">
        <v>32908657</v>
      </c>
      <c r="H449" s="28">
        <f>582908+267803</f>
        <v>850711</v>
      </c>
      <c r="I449" s="32">
        <f>G449-H449</f>
        <v>32057946</v>
      </c>
      <c r="J449" s="146" t="s">
        <v>51</v>
      </c>
      <c r="K449" s="28">
        <v>2668</v>
      </c>
    </row>
    <row r="450">
      <c r="A450" s="22">
        <v>2024</v>
      </c>
      <c r="B450" s="23" t="s">
        <v>164</v>
      </c>
      <c r="C450" s="23" t="s">
        <v>163</v>
      </c>
      <c r="D450" s="23" t="s">
        <v>11</v>
      </c>
      <c r="E450" s="23" t="s">
        <v>19</v>
      </c>
      <c r="F450" s="23">
        <v>43328508</v>
      </c>
      <c r="G450" s="23">
        <v>28867759</v>
      </c>
      <c r="H450" s="23">
        <f>1195089+392957</f>
        <v>1588046</v>
      </c>
      <c r="I450" s="31">
        <f>G450-H450</f>
        <v>27279713</v>
      </c>
      <c r="J450" s="145" t="s">
        <v>37</v>
      </c>
      <c r="K450" s="23">
        <v>8744080</v>
      </c>
    </row>
    <row r="451">
      <c r="A451" s="25">
        <v>2024</v>
      </c>
      <c r="B451" t="s">
        <v>164</v>
      </c>
      <c r="C451" t="s">
        <v>163</v>
      </c>
      <c r="D451" t="s">
        <v>11</v>
      </c>
      <c r="E451" t="s">
        <v>19</v>
      </c>
      <c r="F451">
        <v>43328508</v>
      </c>
      <c r="G451">
        <v>28867759</v>
      </c>
      <c r="H451">
        <f>1195089+392957</f>
        <v>1588046</v>
      </c>
      <c r="I451" s="30">
        <f>G451-H451</f>
        <v>27279713</v>
      </c>
      <c r="J451" s="144" t="s">
        <v>41</v>
      </c>
      <c r="K451">
        <v>7004725</v>
      </c>
    </row>
    <row r="452">
      <c r="A452" s="25">
        <v>2024</v>
      </c>
      <c r="B452" t="s">
        <v>164</v>
      </c>
      <c r="C452" t="s">
        <v>163</v>
      </c>
      <c r="D452" t="s">
        <v>11</v>
      </c>
      <c r="E452" t="s">
        <v>19</v>
      </c>
      <c r="F452">
        <v>43328508</v>
      </c>
      <c r="G452">
        <v>28867759</v>
      </c>
      <c r="H452">
        <f>1195089+392957</f>
        <v>1588046</v>
      </c>
      <c r="I452" s="30">
        <f>G452-H452</f>
        <v>27279713</v>
      </c>
      <c r="J452" s="144" t="s">
        <v>36</v>
      </c>
      <c r="K452">
        <v>6313808</v>
      </c>
    </row>
    <row r="453">
      <c r="A453" s="25">
        <v>2024</v>
      </c>
      <c r="B453" t="s">
        <v>164</v>
      </c>
      <c r="C453" t="s">
        <v>163</v>
      </c>
      <c r="D453" t="s">
        <v>11</v>
      </c>
      <c r="E453" t="s">
        <v>19</v>
      </c>
      <c r="F453">
        <v>43328508</v>
      </c>
      <c r="G453">
        <v>28867759</v>
      </c>
      <c r="H453">
        <f>1195089+392957</f>
        <v>1588046</v>
      </c>
      <c r="I453" s="30">
        <f>G453-H453</f>
        <v>27279713</v>
      </c>
      <c r="J453" s="144" t="s">
        <v>31</v>
      </c>
      <c r="K453">
        <v>1474650</v>
      </c>
    </row>
    <row r="454">
      <c r="A454" s="25">
        <v>2024</v>
      </c>
      <c r="B454" t="s">
        <v>164</v>
      </c>
      <c r="C454" t="s">
        <v>163</v>
      </c>
      <c r="D454" t="s">
        <v>11</v>
      </c>
      <c r="E454" t="s">
        <v>19</v>
      </c>
      <c r="F454">
        <v>43328508</v>
      </c>
      <c r="G454">
        <v>28867759</v>
      </c>
      <c r="H454">
        <f>1195089+392957</f>
        <v>1588046</v>
      </c>
      <c r="I454" s="30">
        <f>G454-H454</f>
        <v>27279713</v>
      </c>
      <c r="J454" s="144" t="s">
        <v>42</v>
      </c>
      <c r="K454">
        <v>1364964</v>
      </c>
    </row>
    <row r="455">
      <c r="A455" s="25">
        <v>2024</v>
      </c>
      <c r="B455" t="s">
        <v>164</v>
      </c>
      <c r="C455" t="s">
        <v>163</v>
      </c>
      <c r="D455" t="s">
        <v>11</v>
      </c>
      <c r="E455" t="s">
        <v>19</v>
      </c>
      <c r="F455">
        <v>43328508</v>
      </c>
      <c r="G455">
        <v>28867759</v>
      </c>
      <c r="H455">
        <f>1195089+392957</f>
        <v>1588046</v>
      </c>
      <c r="I455" s="30">
        <f>G455-H455</f>
        <v>27279713</v>
      </c>
      <c r="J455" s="144" t="s">
        <v>26</v>
      </c>
      <c r="K455">
        <v>980818</v>
      </c>
    </row>
    <row r="456">
      <c r="A456" s="25">
        <v>2024</v>
      </c>
      <c r="B456" t="s">
        <v>164</v>
      </c>
      <c r="C456" t="s">
        <v>163</v>
      </c>
      <c r="D456" t="s">
        <v>11</v>
      </c>
      <c r="E456" t="s">
        <v>19</v>
      </c>
      <c r="F456">
        <v>43328508</v>
      </c>
      <c r="G456">
        <v>28867759</v>
      </c>
      <c r="H456">
        <f>1195089+392957</f>
        <v>1588046</v>
      </c>
      <c r="I456" s="30">
        <f>G456-H456</f>
        <v>27279713</v>
      </c>
      <c r="J456" s="144" t="s">
        <v>43</v>
      </c>
      <c r="K456">
        <v>401063</v>
      </c>
    </row>
    <row r="457">
      <c r="A457" s="25">
        <v>2024</v>
      </c>
      <c r="B457" t="s">
        <v>164</v>
      </c>
      <c r="C457" t="s">
        <v>163</v>
      </c>
      <c r="D457" t="s">
        <v>11</v>
      </c>
      <c r="E457" t="s">
        <v>19</v>
      </c>
      <c r="F457">
        <v>43328508</v>
      </c>
      <c r="G457">
        <v>28867759</v>
      </c>
      <c r="H457">
        <f>1195089+392957</f>
        <v>1588046</v>
      </c>
      <c r="I457" s="30">
        <f>G457-H457</f>
        <v>27279713</v>
      </c>
      <c r="J457" s="144" t="s">
        <v>45</v>
      </c>
      <c r="K457">
        <v>288202</v>
      </c>
    </row>
    <row r="458">
      <c r="A458" s="25">
        <v>2024</v>
      </c>
      <c r="B458" t="s">
        <v>164</v>
      </c>
      <c r="C458" t="s">
        <v>163</v>
      </c>
      <c r="D458" t="s">
        <v>11</v>
      </c>
      <c r="E458" t="s">
        <v>19</v>
      </c>
      <c r="F458">
        <v>43328508</v>
      </c>
      <c r="G458">
        <v>28867759</v>
      </c>
      <c r="H458">
        <f>1195089+392957</f>
        <v>1588046</v>
      </c>
      <c r="I458" s="30">
        <f>G458-H458</f>
        <v>27279713</v>
      </c>
      <c r="J458" s="144" t="s">
        <v>46</v>
      </c>
      <c r="K458">
        <v>258139</v>
      </c>
    </row>
    <row r="459">
      <c r="A459" s="25">
        <v>2024</v>
      </c>
      <c r="B459" t="s">
        <v>164</v>
      </c>
      <c r="C459" t="s">
        <v>163</v>
      </c>
      <c r="D459" t="s">
        <v>11</v>
      </c>
      <c r="E459" t="s">
        <v>19</v>
      </c>
      <c r="F459">
        <v>43328508</v>
      </c>
      <c r="G459">
        <v>28867759</v>
      </c>
      <c r="H459">
        <f>1195089+392957</f>
        <v>1588046</v>
      </c>
      <c r="I459" s="30">
        <f>G459-H459</f>
        <v>27279713</v>
      </c>
      <c r="J459" s="144" t="s">
        <v>44</v>
      </c>
      <c r="K459">
        <v>177167</v>
      </c>
    </row>
    <row r="460">
      <c r="A460" s="25">
        <v>2024</v>
      </c>
      <c r="B460" t="s">
        <v>164</v>
      </c>
      <c r="C460" t="s">
        <v>163</v>
      </c>
      <c r="D460" t="s">
        <v>11</v>
      </c>
      <c r="E460" t="s">
        <v>19</v>
      </c>
      <c r="F460">
        <v>43328508</v>
      </c>
      <c r="G460">
        <v>28867759</v>
      </c>
      <c r="H460">
        <f>1195089+392957</f>
        <v>1588046</v>
      </c>
      <c r="I460" s="30">
        <f>G460-H460</f>
        <v>27279713</v>
      </c>
      <c r="J460" s="144" t="s">
        <v>47</v>
      </c>
      <c r="K460">
        <v>119672</v>
      </c>
    </row>
    <row r="461">
      <c r="A461" s="25">
        <v>2024</v>
      </c>
      <c r="B461" t="s">
        <v>164</v>
      </c>
      <c r="C461" t="s">
        <v>163</v>
      </c>
      <c r="D461" t="s">
        <v>11</v>
      </c>
      <c r="E461" t="s">
        <v>19</v>
      </c>
      <c r="F461">
        <v>43328508</v>
      </c>
      <c r="G461">
        <v>28867759</v>
      </c>
      <c r="H461">
        <f>1195089+392957</f>
        <v>1588046</v>
      </c>
      <c r="I461" s="30">
        <f>G461-H461</f>
        <v>27279713</v>
      </c>
      <c r="J461" s="144" t="s">
        <v>35</v>
      </c>
      <c r="K461">
        <v>38025</v>
      </c>
    </row>
    <row r="462">
      <c r="A462" s="25">
        <v>2024</v>
      </c>
      <c r="B462" t="s">
        <v>164</v>
      </c>
      <c r="C462" t="s">
        <v>163</v>
      </c>
      <c r="D462" t="s">
        <v>11</v>
      </c>
      <c r="E462" t="s">
        <v>19</v>
      </c>
      <c r="F462">
        <v>43328508</v>
      </c>
      <c r="G462">
        <v>28867759</v>
      </c>
      <c r="H462">
        <f>1195089+392957</f>
        <v>1588046</v>
      </c>
      <c r="I462" s="30">
        <f>G462-H462</f>
        <v>27279713</v>
      </c>
      <c r="J462" s="144" t="s">
        <v>14</v>
      </c>
      <c r="K462">
        <v>37808</v>
      </c>
    </row>
    <row r="463">
      <c r="A463" s="25">
        <v>2024</v>
      </c>
      <c r="B463" t="s">
        <v>164</v>
      </c>
      <c r="C463" t="s">
        <v>163</v>
      </c>
      <c r="D463" t="s">
        <v>11</v>
      </c>
      <c r="E463" t="s">
        <v>19</v>
      </c>
      <c r="F463">
        <v>43328508</v>
      </c>
      <c r="G463">
        <v>28867759</v>
      </c>
      <c r="H463">
        <f>1195089+392957</f>
        <v>1588046</v>
      </c>
      <c r="I463" s="30">
        <f>G463-H463</f>
        <v>27279713</v>
      </c>
      <c r="J463" s="144" t="s">
        <v>33</v>
      </c>
      <c r="K463">
        <v>26343</v>
      </c>
    </row>
    <row r="464">
      <c r="A464" s="25">
        <v>2024</v>
      </c>
      <c r="B464" t="s">
        <v>164</v>
      </c>
      <c r="C464" t="s">
        <v>163</v>
      </c>
      <c r="D464" t="s">
        <v>11</v>
      </c>
      <c r="E464" t="s">
        <v>19</v>
      </c>
      <c r="F464">
        <v>43328508</v>
      </c>
      <c r="G464">
        <v>28867759</v>
      </c>
      <c r="H464">
        <f>1195089+392957</f>
        <v>1588046</v>
      </c>
      <c r="I464" s="30">
        <f>G464-H464</f>
        <v>27279713</v>
      </c>
      <c r="J464" s="144" t="s">
        <v>49</v>
      </c>
      <c r="K464">
        <v>23217</v>
      </c>
    </row>
    <row r="465">
      <c r="A465" s="25">
        <v>2024</v>
      </c>
      <c r="B465" t="s">
        <v>164</v>
      </c>
      <c r="C465" t="s">
        <v>163</v>
      </c>
      <c r="D465" t="s">
        <v>11</v>
      </c>
      <c r="E465" t="s">
        <v>19</v>
      </c>
      <c r="F465">
        <v>43328508</v>
      </c>
      <c r="G465">
        <v>28867759</v>
      </c>
      <c r="H465">
        <f>1195089+392957</f>
        <v>1588046</v>
      </c>
      <c r="I465" s="30">
        <f>G465-H465</f>
        <v>27279713</v>
      </c>
      <c r="J465" s="144" t="s">
        <v>48</v>
      </c>
      <c r="K465">
        <v>18672</v>
      </c>
    </row>
    <row r="466">
      <c r="A466" s="27">
        <v>2024</v>
      </c>
      <c r="B466" s="28" t="s">
        <v>164</v>
      </c>
      <c r="C466" s="28" t="s">
        <v>163</v>
      </c>
      <c r="D466" s="28" t="s">
        <v>11</v>
      </c>
      <c r="E466" s="28" t="s">
        <v>19</v>
      </c>
      <c r="F466" s="28">
        <v>43328508</v>
      </c>
      <c r="G466" s="28">
        <v>28867759</v>
      </c>
      <c r="H466" s="28">
        <f>1195089+392957</f>
        <v>1588046</v>
      </c>
      <c r="I466" s="32">
        <f>G466-H466</f>
        <v>27279713</v>
      </c>
      <c r="J466" s="146" t="s">
        <v>32</v>
      </c>
      <c r="K466" s="28">
        <v>8361</v>
      </c>
    </row>
    <row r="467">
      <c r="A467" s="22">
        <v>2024</v>
      </c>
      <c r="B467" s="23" t="s">
        <v>164</v>
      </c>
      <c r="C467" s="23" t="s">
        <v>165</v>
      </c>
      <c r="D467" s="23">
        <v>4301</v>
      </c>
      <c r="E467" s="23" t="s">
        <v>13</v>
      </c>
      <c r="F467" s="23">
        <v>102716</v>
      </c>
      <c r="G467" s="23">
        <v>74866</v>
      </c>
      <c r="H467" s="23">
        <f>1020+448</f>
        <v>1468</v>
      </c>
      <c r="I467" s="31">
        <f>G467-H467</f>
        <v>73398</v>
      </c>
      <c r="J467" s="145" t="s">
        <v>31</v>
      </c>
      <c r="K467" s="23">
        <v>27013</v>
      </c>
    </row>
    <row r="468">
      <c r="A468" s="25">
        <v>2024</v>
      </c>
      <c r="B468" t="s">
        <v>164</v>
      </c>
      <c r="C468" t="s">
        <v>165</v>
      </c>
      <c r="D468">
        <v>4301</v>
      </c>
      <c r="E468" t="s">
        <v>13</v>
      </c>
      <c r="F468">
        <v>102716</v>
      </c>
      <c r="G468">
        <v>74866</v>
      </c>
      <c r="H468">
        <f>1020+448</f>
        <v>1468</v>
      </c>
      <c r="I468" s="30">
        <f>G468-H468</f>
        <v>73398</v>
      </c>
      <c r="J468" s="144" t="s">
        <v>37</v>
      </c>
      <c r="K468">
        <v>25091</v>
      </c>
    </row>
    <row r="469">
      <c r="A469" s="25">
        <v>2024</v>
      </c>
      <c r="B469" t="s">
        <v>164</v>
      </c>
      <c r="C469" t="s">
        <v>165</v>
      </c>
      <c r="D469">
        <v>4301</v>
      </c>
      <c r="E469" t="s">
        <v>13</v>
      </c>
      <c r="F469">
        <v>102716</v>
      </c>
      <c r="G469">
        <v>74866</v>
      </c>
      <c r="H469">
        <f>1020+448</f>
        <v>1468</v>
      </c>
      <c r="I469" s="30">
        <f>G469-H469</f>
        <v>73398</v>
      </c>
      <c r="J469" s="144" t="s">
        <v>41</v>
      </c>
      <c r="K469">
        <v>13694</v>
      </c>
    </row>
    <row r="470">
      <c r="A470" s="25">
        <v>2024</v>
      </c>
      <c r="B470" t="s">
        <v>164</v>
      </c>
      <c r="C470" t="s">
        <v>165</v>
      </c>
      <c r="D470">
        <v>4301</v>
      </c>
      <c r="E470" t="s">
        <v>13</v>
      </c>
      <c r="F470">
        <v>102716</v>
      </c>
      <c r="G470">
        <v>74866</v>
      </c>
      <c r="H470">
        <f>1020+448</f>
        <v>1468</v>
      </c>
      <c r="I470" s="30">
        <f>G470-H470</f>
        <v>73398</v>
      </c>
      <c r="J470" s="144" t="s">
        <v>36</v>
      </c>
      <c r="K470">
        <v>6932</v>
      </c>
    </row>
    <row r="471">
      <c r="A471" s="27">
        <v>2024</v>
      </c>
      <c r="B471" s="28" t="s">
        <v>164</v>
      </c>
      <c r="C471" s="28" t="s">
        <v>165</v>
      </c>
      <c r="D471" s="28">
        <v>4301</v>
      </c>
      <c r="E471" s="28" t="s">
        <v>13</v>
      </c>
      <c r="F471" s="28">
        <v>102716</v>
      </c>
      <c r="G471" s="28">
        <v>74866</v>
      </c>
      <c r="H471" s="28">
        <f>1020+448</f>
        <v>1468</v>
      </c>
      <c r="I471" s="32">
        <f>G471-H471</f>
        <v>73398</v>
      </c>
      <c r="J471" s="146" t="s">
        <v>23</v>
      </c>
      <c r="K471" s="28">
        <v>668</v>
      </c>
    </row>
    <row r="472">
      <c r="A472" s="22">
        <v>2024</v>
      </c>
      <c r="B472" s="23" t="s">
        <v>164</v>
      </c>
      <c r="C472" s="23" t="s">
        <v>165</v>
      </c>
      <c r="D472" s="23">
        <v>4301</v>
      </c>
      <c r="E472" s="23" t="s">
        <v>19</v>
      </c>
      <c r="F472" s="23">
        <v>102716</v>
      </c>
      <c r="G472" s="23">
        <v>73995</v>
      </c>
      <c r="H472" s="23">
        <f>3408+1075</f>
        <v>4483</v>
      </c>
      <c r="I472" s="31">
        <f>G472-H472</f>
        <v>69512</v>
      </c>
      <c r="J472" s="145" t="s">
        <v>31</v>
      </c>
      <c r="K472" s="23">
        <v>42828</v>
      </c>
    </row>
    <row r="473">
      <c r="A473" s="27">
        <v>2024</v>
      </c>
      <c r="B473" s="28" t="s">
        <v>164</v>
      </c>
      <c r="C473" s="28" t="s">
        <v>165</v>
      </c>
      <c r="D473" s="28">
        <v>4301</v>
      </c>
      <c r="E473" s="28" t="s">
        <v>19</v>
      </c>
      <c r="F473" s="28">
        <v>102716</v>
      </c>
      <c r="G473" s="28">
        <v>73995</v>
      </c>
      <c r="H473" s="28">
        <f>3408+1075</f>
        <v>4483</v>
      </c>
      <c r="I473" s="32">
        <f>G473-H473</f>
        <v>69512</v>
      </c>
      <c r="J473" s="146" t="s">
        <v>37</v>
      </c>
      <c r="K473" s="28">
        <v>26684</v>
      </c>
    </row>
    <row r="474">
      <c r="A474" s="22">
        <v>2024</v>
      </c>
      <c r="B474" s="23" t="s">
        <v>164</v>
      </c>
      <c r="C474" s="23" t="s">
        <v>165</v>
      </c>
      <c r="D474" s="23">
        <v>4302</v>
      </c>
      <c r="E474" s="23" t="s">
        <v>13</v>
      </c>
      <c r="F474" s="23">
        <v>79390</v>
      </c>
      <c r="G474" s="23">
        <v>57073</v>
      </c>
      <c r="H474" s="23">
        <f>834+481</f>
        <v>1315</v>
      </c>
      <c r="I474" s="31">
        <f>G474-H474</f>
        <v>55758</v>
      </c>
      <c r="J474" s="145" t="s">
        <v>31</v>
      </c>
      <c r="K474" s="23">
        <v>21573</v>
      </c>
    </row>
    <row r="475">
      <c r="A475" s="25">
        <v>2024</v>
      </c>
      <c r="B475" t="s">
        <v>164</v>
      </c>
      <c r="C475" t="s">
        <v>165</v>
      </c>
      <c r="D475">
        <v>4302</v>
      </c>
      <c r="E475" t="s">
        <v>13</v>
      </c>
      <c r="F475">
        <v>79390</v>
      </c>
      <c r="G475">
        <v>57073</v>
      </c>
      <c r="H475">
        <f>834+481</f>
        <v>1315</v>
      </c>
      <c r="I475" s="30">
        <f>G475-H475</f>
        <v>55758</v>
      </c>
      <c r="J475" s="144" t="s">
        <v>37</v>
      </c>
      <c r="K475">
        <v>17885</v>
      </c>
    </row>
    <row r="476">
      <c r="A476" s="25">
        <v>2024</v>
      </c>
      <c r="B476" t="s">
        <v>164</v>
      </c>
      <c r="C476" t="s">
        <v>165</v>
      </c>
      <c r="D476">
        <v>4302</v>
      </c>
      <c r="E476" t="s">
        <v>13</v>
      </c>
      <c r="F476">
        <v>79390</v>
      </c>
      <c r="G476">
        <v>57073</v>
      </c>
      <c r="H476">
        <f>834+481</f>
        <v>1315</v>
      </c>
      <c r="I476" s="30">
        <f>G476-H476</f>
        <v>55758</v>
      </c>
      <c r="J476" s="144" t="s">
        <v>41</v>
      </c>
      <c r="K476">
        <v>10898</v>
      </c>
    </row>
    <row r="477">
      <c r="A477" s="25">
        <v>2024</v>
      </c>
      <c r="B477" t="s">
        <v>164</v>
      </c>
      <c r="C477" t="s">
        <v>165</v>
      </c>
      <c r="D477">
        <v>4302</v>
      </c>
      <c r="E477" t="s">
        <v>13</v>
      </c>
      <c r="F477">
        <v>79390</v>
      </c>
      <c r="G477">
        <v>57073</v>
      </c>
      <c r="H477">
        <f>834+481</f>
        <v>1315</v>
      </c>
      <c r="I477" s="30">
        <f>G477-H477</f>
        <v>55758</v>
      </c>
      <c r="J477" s="144" t="s">
        <v>36</v>
      </c>
      <c r="K477">
        <v>4607</v>
      </c>
    </row>
    <row r="478">
      <c r="A478" s="27">
        <v>2024</v>
      </c>
      <c r="B478" s="28" t="s">
        <v>164</v>
      </c>
      <c r="C478" s="28" t="s">
        <v>165</v>
      </c>
      <c r="D478" s="28">
        <v>4302</v>
      </c>
      <c r="E478" s="28" t="s">
        <v>13</v>
      </c>
      <c r="F478" s="28">
        <v>79390</v>
      </c>
      <c r="G478" s="28">
        <v>57073</v>
      </c>
      <c r="H478" s="28">
        <f>834+481</f>
        <v>1315</v>
      </c>
      <c r="I478" s="32">
        <f>G478-H478</f>
        <v>55758</v>
      </c>
      <c r="J478" s="146" t="s">
        <v>23</v>
      </c>
      <c r="K478" s="28">
        <v>795</v>
      </c>
    </row>
    <row r="479">
      <c r="A479" s="22">
        <v>2024</v>
      </c>
      <c r="B479" s="23" t="s">
        <v>164</v>
      </c>
      <c r="C479" s="23" t="s">
        <v>165</v>
      </c>
      <c r="D479" s="23">
        <v>4302</v>
      </c>
      <c r="E479" s="23" t="s">
        <v>19</v>
      </c>
      <c r="F479" s="23">
        <v>79392</v>
      </c>
      <c r="G479" s="23">
        <v>56232</v>
      </c>
      <c r="H479" s="23">
        <f>1867+703</f>
        <v>2570</v>
      </c>
      <c r="I479" s="31">
        <f>G479-H479</f>
        <v>53662</v>
      </c>
      <c r="J479" s="145" t="s">
        <v>31</v>
      </c>
      <c r="K479" s="23">
        <v>34629</v>
      </c>
    </row>
    <row r="480">
      <c r="A480" s="27">
        <v>2024</v>
      </c>
      <c r="B480" s="28" t="s">
        <v>164</v>
      </c>
      <c r="C480" s="28" t="s">
        <v>165</v>
      </c>
      <c r="D480" s="28">
        <v>4302</v>
      </c>
      <c r="E480" s="28" t="s">
        <v>19</v>
      </c>
      <c r="F480" s="28">
        <v>79392</v>
      </c>
      <c r="G480" s="28">
        <v>56232</v>
      </c>
      <c r="H480" s="28">
        <f>1867+703</f>
        <v>2570</v>
      </c>
      <c r="I480" s="32">
        <f>G480-H480</f>
        <v>53662</v>
      </c>
      <c r="J480" s="146" t="s">
        <v>37</v>
      </c>
      <c r="K480" s="28">
        <v>19033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pane activePane="bottomLeft" ySplit="1" topLeftCell="A30" state="frozen"/>
      <selection activeCell="B47" activeCellId="0" sqref="B47" pane="bottomLeft"/>
    </sheetView>
  </sheetViews>
  <sheetFormatPr defaultRowHeight="15" outlineLevelRow="0" outlineLevelCol="0" defaultColWidth="8.6796875"/>
  <cols>
    <col min="1" max="1" width="8" customWidth="1" style="117"/>
    <col min="2" max="2" width="10" customWidth="1" style="117"/>
    <col min="3" max="3" width="18" customWidth="1" style="117"/>
    <col min="4" max="4" width="8" customWidth="1" style="117"/>
    <col min="5" max="5" width="10" customWidth="1" style="117"/>
    <col min="6" max="6" width="22" customWidth="1" style="117"/>
    <col min="7" max="7" width="50" customWidth="1" style="117"/>
    <col min="8" max="16384" width="8.6796875" style="117"/>
  </cols>
  <sheetData>
    <row r="1" customHeight="1" ht="21.75">
      <c r="A1" s="118" t="s">
        <v>0</v>
      </c>
      <c r="B1" s="118" t="s">
        <v>5</v>
      </c>
      <c r="C1" s="118" t="s">
        <v>156</v>
      </c>
      <c r="D1" s="118" t="s">
        <v>262</v>
      </c>
      <c r="E1" s="118" t="s">
        <v>301</v>
      </c>
      <c r="F1" s="118" t="s">
        <v>125</v>
      </c>
      <c r="G1" s="118" t="s">
        <v>225</v>
      </c>
    </row>
    <row r="2" customHeight="1" ht="18">
      <c r="A2" s="119" t="s">
        <v>302</v>
      </c>
      <c r="B2" s="119"/>
      <c r="C2" s="119"/>
      <c r="D2" s="119"/>
      <c r="E2" s="119"/>
      <c r="F2" s="119"/>
      <c r="G2" s="119"/>
    </row>
    <row r="3" customHeight="1" ht="15.75">
      <c r="A3" s="120">
        <v>0</v>
      </c>
      <c r="B3" s="121" t="s">
        <v>23</v>
      </c>
      <c r="C3" s="121" t="s">
        <v>273</v>
      </c>
      <c r="D3" s="122"/>
      <c r="E3" s="123">
        <v>1</v>
      </c>
      <c r="F3" s="124" t="s">
        <v>229</v>
      </c>
      <c r="G3" s="125"/>
    </row>
    <row r="4" customHeight="1" ht="15.75">
      <c r="A4" s="120">
        <v>0</v>
      </c>
      <c r="B4" s="121" t="s">
        <v>98</v>
      </c>
      <c r="C4" s="121" t="s">
        <v>273</v>
      </c>
      <c r="D4" s="122"/>
      <c r="E4" s="123">
        <v>1</v>
      </c>
      <c r="F4" s="124" t="s">
        <v>229</v>
      </c>
      <c r="G4" s="125"/>
    </row>
    <row r="5" customHeight="1" ht="15.75">
      <c r="A5" s="120">
        <v>0</v>
      </c>
      <c r="B5" s="126" t="s">
        <v>40</v>
      </c>
      <c r="C5" s="126" t="s">
        <v>157</v>
      </c>
      <c r="D5" s="122"/>
      <c r="E5" s="123">
        <v>1</v>
      </c>
      <c r="F5" s="124" t="s">
        <v>126</v>
      </c>
      <c r="G5" s="125"/>
    </row>
    <row r="6" customHeight="1" ht="15.75">
      <c r="A6" s="120">
        <v>0</v>
      </c>
      <c r="B6" s="127" t="s">
        <v>32</v>
      </c>
      <c r="C6" s="127" t="s">
        <v>38</v>
      </c>
      <c r="D6" s="122"/>
      <c r="E6" s="123">
        <v>1</v>
      </c>
      <c r="F6" s="124" t="s">
        <v>126</v>
      </c>
      <c r="G6" s="125"/>
    </row>
    <row r="7" customHeight="1" ht="15.75">
      <c r="A7" s="120">
        <v>0</v>
      </c>
      <c r="B7" s="128" t="s">
        <v>33</v>
      </c>
      <c r="C7" s="128" t="s">
        <v>134</v>
      </c>
      <c r="D7" s="122"/>
      <c r="E7" s="123">
        <v>1</v>
      </c>
      <c r="F7" s="124" t="s">
        <v>133</v>
      </c>
      <c r="G7" s="125"/>
    </row>
    <row r="8">
      <c r="A8" s="120">
        <v>0</v>
      </c>
      <c r="B8" s="128" t="s">
        <v>352</v>
      </c>
      <c r="C8" s="128" t="s">
        <v>134</v>
      </c>
      <c r="D8" s="122"/>
      <c r="E8" s="123">
        <v>1</v>
      </c>
      <c r="F8" s="124" t="s">
        <v>133</v>
      </c>
      <c r="G8" s="125" t="s">
        <v>379</v>
      </c>
    </row>
    <row r="9" customHeight="1" ht="15.75">
      <c r="A9" s="120">
        <v>0</v>
      </c>
      <c r="B9" s="128" t="s">
        <v>50</v>
      </c>
      <c r="C9" s="128" t="s">
        <v>134</v>
      </c>
      <c r="D9" s="122"/>
      <c r="E9" s="123">
        <v>1</v>
      </c>
      <c r="F9" s="124" t="s">
        <v>133</v>
      </c>
      <c r="G9" s="125"/>
    </row>
    <row r="10" customHeight="1" ht="15.75">
      <c r="A10" s="120">
        <v>0</v>
      </c>
      <c r="B10" s="128" t="s">
        <v>43</v>
      </c>
      <c r="C10" s="128" t="s">
        <v>134</v>
      </c>
      <c r="D10" s="122"/>
      <c r="E10" s="123">
        <v>1</v>
      </c>
      <c r="F10" s="124" t="s">
        <v>133</v>
      </c>
      <c r="G10" s="125"/>
    </row>
    <row r="11" customHeight="1" ht="15.75">
      <c r="A11" s="120">
        <v>0</v>
      </c>
      <c r="B11" s="129" t="s">
        <v>14</v>
      </c>
      <c r="C11" s="129" t="s">
        <v>131</v>
      </c>
      <c r="D11" s="122"/>
      <c r="E11" s="123">
        <v>1</v>
      </c>
      <c r="F11" s="124" t="s">
        <v>130</v>
      </c>
      <c r="G11" s="125"/>
    </row>
    <row r="12" customHeight="1" ht="15.75">
      <c r="A12" s="120">
        <v>0</v>
      </c>
      <c r="B12" s="129" t="s">
        <v>51</v>
      </c>
      <c r="C12" s="129" t="s">
        <v>131</v>
      </c>
      <c r="D12" s="122"/>
      <c r="E12" s="123">
        <v>1</v>
      </c>
      <c r="F12" s="124" t="s">
        <v>130</v>
      </c>
      <c r="G12" s="125"/>
    </row>
    <row r="13" customHeight="1" ht="15.75">
      <c r="A13" s="120">
        <v>0</v>
      </c>
      <c r="B13" s="130" t="s">
        <v>45</v>
      </c>
      <c r="C13" s="130" t="s">
        <v>136</v>
      </c>
      <c r="D13" s="122"/>
      <c r="E13" s="123">
        <v>1</v>
      </c>
      <c r="F13" s="124" t="s">
        <v>136</v>
      </c>
      <c r="G13" s="125"/>
    </row>
    <row r="14" customHeight="1" ht="15.75">
      <c r="A14" s="120">
        <v>0</v>
      </c>
      <c r="B14" s="130" t="s">
        <v>35</v>
      </c>
      <c r="C14" s="130" t="s">
        <v>136</v>
      </c>
      <c r="D14" s="122"/>
      <c r="E14" s="123">
        <v>1</v>
      </c>
      <c r="F14" s="124" t="s">
        <v>136</v>
      </c>
      <c r="G14" s="125"/>
    </row>
    <row r="15">
      <c r="A15" s="120">
        <v>0</v>
      </c>
      <c r="B15" s="130" t="s">
        <v>365</v>
      </c>
      <c r="C15" s="130" t="s">
        <v>377</v>
      </c>
      <c r="D15" s="122"/>
      <c r="E15" s="123">
        <v>1</v>
      </c>
      <c r="F15" s="124" t="s">
        <v>377</v>
      </c>
      <c r="G15" s="125" t="s">
        <v>378</v>
      </c>
    </row>
    <row r="16" customHeight="1" ht="15.75">
      <c r="A16" s="120">
        <v>0</v>
      </c>
      <c r="B16" s="130" t="s">
        <v>24</v>
      </c>
      <c r="C16" s="130" t="s">
        <v>136</v>
      </c>
      <c r="D16" s="122"/>
      <c r="E16" s="123">
        <v>1</v>
      </c>
      <c r="F16" s="124" t="s">
        <v>136</v>
      </c>
      <c r="G16" s="125"/>
    </row>
    <row r="17" customHeight="1" ht="15.75">
      <c r="A17" s="120">
        <v>0</v>
      </c>
      <c r="B17" s="130" t="s">
        <v>25</v>
      </c>
      <c r="C17" s="130" t="s">
        <v>136</v>
      </c>
      <c r="D17" s="122"/>
      <c r="E17" s="123">
        <v>1</v>
      </c>
      <c r="F17" s="124" t="s">
        <v>136</v>
      </c>
      <c r="G17" s="125"/>
    </row>
    <row r="18" customHeight="1" ht="15.75">
      <c r="A18" s="120">
        <v>0</v>
      </c>
      <c r="B18" s="130" t="s">
        <v>84</v>
      </c>
      <c r="C18" s="130" t="s">
        <v>136</v>
      </c>
      <c r="D18" s="122"/>
      <c r="E18" s="123">
        <v>1</v>
      </c>
      <c r="F18" s="124" t="s">
        <v>136</v>
      </c>
      <c r="G18" s="125"/>
    </row>
    <row r="19" customHeight="1" ht="15.75">
      <c r="A19" s="120">
        <v>0</v>
      </c>
      <c r="B19" s="130" t="s">
        <v>85</v>
      </c>
      <c r="C19" s="130" t="s">
        <v>136</v>
      </c>
      <c r="D19" s="122"/>
      <c r="E19" s="123">
        <v>1</v>
      </c>
      <c r="F19" s="124" t="s">
        <v>136</v>
      </c>
      <c r="G19" s="125"/>
    </row>
    <row r="20" customHeight="1" ht="15.75">
      <c r="A20" s="120">
        <v>0</v>
      </c>
      <c r="B20" s="130" t="s">
        <v>86</v>
      </c>
      <c r="C20" s="130" t="s">
        <v>136</v>
      </c>
      <c r="D20" s="122"/>
      <c r="E20" s="123">
        <v>1</v>
      </c>
      <c r="F20" s="124" t="s">
        <v>136</v>
      </c>
      <c r="G20" s="125"/>
    </row>
    <row r="21" customHeight="1" ht="15.75">
      <c r="A21" s="120">
        <v>0</v>
      </c>
      <c r="B21" s="130" t="s">
        <v>30</v>
      </c>
      <c r="C21" s="130" t="s">
        <v>136</v>
      </c>
      <c r="D21" s="122"/>
      <c r="E21" s="123">
        <v>1</v>
      </c>
      <c r="F21" s="124" t="s">
        <v>136</v>
      </c>
      <c r="G21" s="125"/>
    </row>
    <row r="22" customHeight="1" ht="15.75">
      <c r="A22" s="120">
        <v>0</v>
      </c>
      <c r="B22" s="130" t="s">
        <v>36</v>
      </c>
      <c r="C22" s="130" t="s">
        <v>136</v>
      </c>
      <c r="D22" s="122"/>
      <c r="E22" s="123">
        <v>1</v>
      </c>
      <c r="F22" s="124" t="s">
        <v>136</v>
      </c>
      <c r="G22" s="125"/>
    </row>
    <row r="23" customHeight="1" ht="15.75">
      <c r="A23" s="120">
        <v>0</v>
      </c>
      <c r="B23" s="130" t="s">
        <v>95</v>
      </c>
      <c r="C23" s="130" t="s">
        <v>136</v>
      </c>
      <c r="D23" s="122"/>
      <c r="E23" s="123">
        <v>1</v>
      </c>
      <c r="F23" s="124" t="s">
        <v>136</v>
      </c>
      <c r="G23" s="125"/>
    </row>
    <row r="24" customHeight="1" ht="15.75">
      <c r="A24" s="120">
        <v>0</v>
      </c>
      <c r="B24" s="130" t="s">
        <v>47</v>
      </c>
      <c r="C24" s="130" t="s">
        <v>136</v>
      </c>
      <c r="D24" s="122"/>
      <c r="E24" s="123">
        <v>1</v>
      </c>
      <c r="F24" s="124" t="s">
        <v>136</v>
      </c>
      <c r="G24" s="125"/>
    </row>
    <row r="25" customHeight="1" ht="15.75">
      <c r="A25" s="120">
        <v>0</v>
      </c>
      <c r="B25" s="130" t="s">
        <v>46</v>
      </c>
      <c r="C25" s="130" t="s">
        <v>136</v>
      </c>
      <c r="D25" s="122"/>
      <c r="E25" s="123">
        <v>1</v>
      </c>
      <c r="F25" s="124" t="s">
        <v>136</v>
      </c>
      <c r="G25" s="125"/>
    </row>
    <row r="26" customHeight="1" ht="15.75">
      <c r="A26" s="120">
        <v>0</v>
      </c>
      <c r="B26" s="130" t="s">
        <v>44</v>
      </c>
      <c r="C26" s="130" t="s">
        <v>136</v>
      </c>
      <c r="D26" s="122"/>
      <c r="E26" s="123">
        <v>1</v>
      </c>
      <c r="F26" s="124" t="s">
        <v>136</v>
      </c>
      <c r="G26" s="125"/>
    </row>
    <row r="27" customHeight="1" ht="15.75">
      <c r="A27" s="120">
        <v>0</v>
      </c>
      <c r="B27" s="130" t="s">
        <v>242</v>
      </c>
      <c r="C27" s="130" t="s">
        <v>136</v>
      </c>
      <c r="D27" s="122"/>
      <c r="E27" s="123">
        <v>1</v>
      </c>
      <c r="F27" s="124" t="s">
        <v>136</v>
      </c>
      <c r="G27" s="125"/>
    </row>
    <row r="28" customHeight="1" ht="15.75">
      <c r="A28" s="120">
        <v>0</v>
      </c>
      <c r="B28" s="130" t="s">
        <v>243</v>
      </c>
      <c r="C28" s="130" t="s">
        <v>136</v>
      </c>
      <c r="D28" s="122"/>
      <c r="E28" s="123">
        <v>1</v>
      </c>
      <c r="F28" s="124" t="s">
        <v>136</v>
      </c>
      <c r="G28" s="125"/>
    </row>
    <row r="29" customHeight="1" ht="15.75">
      <c r="A29" s="120">
        <v>0</v>
      </c>
      <c r="B29" s="131" t="s">
        <v>21</v>
      </c>
      <c r="C29" s="131" t="s">
        <v>138</v>
      </c>
      <c r="D29" s="122"/>
      <c r="E29" s="123">
        <v>1</v>
      </c>
      <c r="F29" s="124" t="s">
        <v>138</v>
      </c>
      <c r="G29" s="125"/>
    </row>
    <row r="30" customHeight="1" ht="15.75">
      <c r="A30" s="120">
        <v>0</v>
      </c>
      <c r="B30" s="131" t="s">
        <v>31</v>
      </c>
      <c r="C30" s="131" t="s">
        <v>138</v>
      </c>
      <c r="D30" s="122"/>
      <c r="E30" s="123">
        <v>1</v>
      </c>
      <c r="F30" s="124" t="s">
        <v>138</v>
      </c>
      <c r="G30" s="125"/>
    </row>
    <row r="31" customHeight="1" ht="15.75">
      <c r="A31" s="120">
        <v>0</v>
      </c>
      <c r="B31" s="131" t="s">
        <v>26</v>
      </c>
      <c r="C31" s="131" t="s">
        <v>138</v>
      </c>
      <c r="D31" s="122"/>
      <c r="E31" s="123">
        <v>1</v>
      </c>
      <c r="F31" s="124" t="s">
        <v>138</v>
      </c>
      <c r="G31" s="125"/>
    </row>
    <row r="32" customHeight="1" ht="15.75">
      <c r="A32" s="120">
        <v>0</v>
      </c>
      <c r="B32" s="132" t="s">
        <v>34</v>
      </c>
      <c r="C32" s="132" t="s">
        <v>227</v>
      </c>
      <c r="D32" s="122"/>
      <c r="E32" s="123">
        <v>1</v>
      </c>
      <c r="F32" s="124" t="s">
        <v>227</v>
      </c>
      <c r="G32" s="125"/>
    </row>
    <row r="33" customHeight="1" ht="15.75">
      <c r="A33" s="120">
        <v>0</v>
      </c>
      <c r="B33" s="132" t="s">
        <v>20</v>
      </c>
      <c r="C33" s="132" t="s">
        <v>227</v>
      </c>
      <c r="D33" s="122"/>
      <c r="E33" s="123">
        <v>1</v>
      </c>
      <c r="F33" s="124" t="s">
        <v>227</v>
      </c>
      <c r="G33" s="125"/>
    </row>
    <row r="34" customHeight="1" ht="15.75">
      <c r="A34" s="120">
        <v>0</v>
      </c>
      <c r="B34" s="132" t="s">
        <v>37</v>
      </c>
      <c r="C34" s="132" t="s">
        <v>227</v>
      </c>
      <c r="D34" s="122"/>
      <c r="E34" s="123">
        <v>1</v>
      </c>
      <c r="F34" s="124" t="s">
        <v>227</v>
      </c>
      <c r="G34" s="125"/>
    </row>
    <row r="35" customHeight="1" ht="15.75">
      <c r="A35" s="120">
        <v>0</v>
      </c>
      <c r="B35" s="132" t="s">
        <v>49</v>
      </c>
      <c r="C35" s="132" t="s">
        <v>227</v>
      </c>
      <c r="D35" s="122"/>
      <c r="E35" s="123">
        <v>1</v>
      </c>
      <c r="F35" s="124" t="s">
        <v>227</v>
      </c>
      <c r="G35" s="125"/>
    </row>
    <row r="36" customHeight="1" ht="15.75">
      <c r="A36" s="120">
        <v>0</v>
      </c>
      <c r="B36" s="132" t="s">
        <v>100</v>
      </c>
      <c r="C36" s="132" t="s">
        <v>227</v>
      </c>
      <c r="D36" s="122"/>
      <c r="E36" s="123">
        <v>1</v>
      </c>
      <c r="F36" s="124" t="s">
        <v>227</v>
      </c>
      <c r="G36" s="125"/>
    </row>
    <row r="37" customHeight="1" ht="15.75">
      <c r="A37" s="120">
        <v>0</v>
      </c>
      <c r="B37" s="132" t="s">
        <v>39</v>
      </c>
      <c r="C37" s="132" t="s">
        <v>227</v>
      </c>
      <c r="D37" s="122"/>
      <c r="E37" s="123">
        <v>1</v>
      </c>
      <c r="F37" s="124" t="s">
        <v>227</v>
      </c>
      <c r="G37" s="125"/>
    </row>
    <row r="38" customHeight="1" ht="15.75">
      <c r="A38" s="120">
        <v>0</v>
      </c>
      <c r="B38" s="132" t="s">
        <v>48</v>
      </c>
      <c r="C38" s="132" t="s">
        <v>227</v>
      </c>
      <c r="D38" s="122"/>
      <c r="E38" s="123">
        <v>1</v>
      </c>
      <c r="F38" s="124" t="s">
        <v>227</v>
      </c>
      <c r="G38" s="125"/>
    </row>
    <row r="39" customHeight="1" ht="15.75">
      <c r="A39" s="120">
        <v>0</v>
      </c>
      <c r="B39" s="132" t="s">
        <v>42</v>
      </c>
      <c r="C39" s="132" t="s">
        <v>227</v>
      </c>
      <c r="D39" s="122"/>
      <c r="E39" s="123">
        <v>1</v>
      </c>
      <c r="F39" s="124" t="s">
        <v>227</v>
      </c>
      <c r="G39" s="125"/>
    </row>
    <row r="40" customHeight="1" ht="15.75">
      <c r="A40" s="120">
        <v>0</v>
      </c>
      <c r="B40" s="132" t="s">
        <v>244</v>
      </c>
      <c r="C40" s="132" t="s">
        <v>227</v>
      </c>
      <c r="D40" s="122"/>
      <c r="E40" s="123">
        <v>1</v>
      </c>
      <c r="F40" s="124" t="s">
        <v>227</v>
      </c>
      <c r="G40" s="125"/>
    </row>
    <row r="41" customHeight="1" ht="18">
      <c r="A41" s="119" t="s">
        <v>320</v>
      </c>
      <c r="B41" s="119"/>
      <c r="C41" s="119"/>
      <c r="D41" s="119"/>
      <c r="E41" s="119"/>
      <c r="F41" s="119"/>
      <c r="G41" s="119"/>
    </row>
    <row r="42" ht="23.25">
      <c r="A42" s="133">
        <v>2012</v>
      </c>
      <c r="B42" s="134" t="s">
        <v>22</v>
      </c>
      <c r="C42" s="134" t="s">
        <v>157</v>
      </c>
      <c r="D42" s="135">
        <v>7</v>
      </c>
      <c r="E42" s="136">
        <f>D42/(D42+D43)</f>
        <v>0.4666666666666667</v>
      </c>
      <c r="F42" s="137" t="s">
        <v>126</v>
      </c>
      <c r="G42" s="138" t="s">
        <v>321</v>
      </c>
    </row>
    <row r="43">
      <c r="A43" s="139">
        <v>2012</v>
      </c>
      <c r="B43" s="127" t="s">
        <v>22</v>
      </c>
      <c r="C43" s="127" t="s">
        <v>38</v>
      </c>
      <c r="D43" s="140">
        <v>8</v>
      </c>
      <c r="E43" s="123">
        <f>D43/(D42+D43)</f>
        <v>0.5333333333333333</v>
      </c>
      <c r="F43" s="124" t="s">
        <v>126</v>
      </c>
      <c r="G43" s="125" t="s">
        <v>322</v>
      </c>
    </row>
    <row r="44">
      <c r="A44" s="139">
        <v>2014</v>
      </c>
      <c r="B44" s="127" t="s">
        <v>22</v>
      </c>
      <c r="C44" s="127" t="s">
        <v>157</v>
      </c>
      <c r="D44" s="140">
        <v>7</v>
      </c>
      <c r="E44" s="136">
        <f>D44/(D44+D45)</f>
        <v>0.4666666666666667</v>
      </c>
      <c r="F44" s="124" t="s">
        <v>126</v>
      </c>
      <c r="G44" s="125" t="s">
        <v>382</v>
      </c>
    </row>
    <row r="45">
      <c r="A45" s="139">
        <v>2014</v>
      </c>
      <c r="B45" s="127" t="s">
        <v>22</v>
      </c>
      <c r="C45" s="127" t="s">
        <v>38</v>
      </c>
      <c r="D45" s="140">
        <v>8</v>
      </c>
      <c r="E45" s="123">
        <f>D45/(D44+D45)</f>
        <v>0.5333333333333333</v>
      </c>
      <c r="F45" s="124" t="s">
        <v>126</v>
      </c>
      <c r="G45" s="125" t="s">
        <v>382</v>
      </c>
    </row>
    <row r="46" ht="23.25">
      <c r="A46" s="133">
        <v>2017</v>
      </c>
      <c r="B46" s="134" t="s">
        <v>22</v>
      </c>
      <c r="C46" s="134" t="s">
        <v>157</v>
      </c>
      <c r="D46" s="135">
        <v>16</v>
      </c>
      <c r="E46" s="136">
        <f>D46/(D46+D47)</f>
        <v>0.48484848484848486</v>
      </c>
      <c r="F46" s="137" t="s">
        <v>126</v>
      </c>
      <c r="G46" s="138" t="s">
        <v>323</v>
      </c>
    </row>
    <row r="47">
      <c r="A47" s="139">
        <v>2017</v>
      </c>
      <c r="B47" s="127" t="s">
        <v>22</v>
      </c>
      <c r="C47" s="127" t="s">
        <v>38</v>
      </c>
      <c r="D47" s="140">
        <v>17</v>
      </c>
      <c r="E47" s="123">
        <f>D47/(D46+D47)</f>
        <v>0.5151515151515151</v>
      </c>
      <c r="F47" s="124" t="s">
        <v>126</v>
      </c>
      <c r="G47" s="125" t="s">
        <v>324</v>
      </c>
    </row>
    <row r="48" ht="23.25">
      <c r="A48" s="139">
        <v>2017</v>
      </c>
      <c r="B48" s="128" t="s">
        <v>276</v>
      </c>
      <c r="C48" s="128" t="s">
        <v>134</v>
      </c>
      <c r="D48" s="140">
        <v>28</v>
      </c>
      <c r="E48" s="123">
        <f>D48/(D48+D49)</f>
        <v>0.9032258064516129</v>
      </c>
      <c r="F48" s="124" t="s">
        <v>133</v>
      </c>
      <c r="G48" s="125" t="s">
        <v>325</v>
      </c>
    </row>
    <row r="49">
      <c r="A49" s="139">
        <v>2017</v>
      </c>
      <c r="B49" s="129" t="s">
        <v>276</v>
      </c>
      <c r="C49" s="129" t="s">
        <v>131</v>
      </c>
      <c r="D49" s="140">
        <v>3</v>
      </c>
      <c r="E49" s="123">
        <f>D49/(D48+D49)</f>
        <v>9.67741935483871E-2</v>
      </c>
      <c r="F49" s="124" t="s">
        <v>130</v>
      </c>
      <c r="G49" s="125" t="s">
        <v>326</v>
      </c>
    </row>
    <row r="50" ht="23.25">
      <c r="A50" s="133">
        <v>2022</v>
      </c>
      <c r="B50" s="134" t="s">
        <v>99</v>
      </c>
      <c r="C50" s="134" t="s">
        <v>157</v>
      </c>
      <c r="D50" s="135">
        <v>22</v>
      </c>
      <c r="E50" s="136">
        <f>D50/(D50+D51+D52+D53)</f>
        <v>0.11956521739130435</v>
      </c>
      <c r="F50" s="137" t="s">
        <v>126</v>
      </c>
      <c r="G50" s="138" t="s">
        <v>327</v>
      </c>
    </row>
    <row r="51">
      <c r="A51" s="139">
        <v>2022</v>
      </c>
      <c r="B51" s="127" t="s">
        <v>99</v>
      </c>
      <c r="C51" s="127" t="s">
        <v>38</v>
      </c>
      <c r="D51" s="140">
        <v>75</v>
      </c>
      <c r="E51" s="123">
        <f>D51/(D50+D51+D52+D53)</f>
        <v>0.4076086956521739</v>
      </c>
      <c r="F51" s="124" t="s">
        <v>126</v>
      </c>
      <c r="G51" s="125" t="s">
        <v>328</v>
      </c>
    </row>
    <row r="52">
      <c r="A52" s="139">
        <v>2022</v>
      </c>
      <c r="B52" s="128" t="s">
        <v>99</v>
      </c>
      <c r="C52" s="128" t="s">
        <v>134</v>
      </c>
      <c r="D52" s="140">
        <v>64</v>
      </c>
      <c r="E52" s="123">
        <f>D52/(D50+D51+D52+D53)</f>
        <v>0.34782608695652173</v>
      </c>
      <c r="F52" s="124" t="s">
        <v>133</v>
      </c>
      <c r="G52" s="125" t="s">
        <v>328</v>
      </c>
    </row>
    <row r="53" customHeight="1" ht="15.75">
      <c r="A53" s="139">
        <v>2022</v>
      </c>
      <c r="B53" s="129" t="s">
        <v>99</v>
      </c>
      <c r="C53" s="129" t="s">
        <v>131</v>
      </c>
      <c r="D53" s="140">
        <v>23</v>
      </c>
      <c r="E53" s="123">
        <f>D53/(D50+D51+D52+D53)</f>
        <v>0.125</v>
      </c>
      <c r="F53" s="124" t="s">
        <v>130</v>
      </c>
      <c r="G53" s="125" t="s">
        <v>328</v>
      </c>
    </row>
    <row r="54" ht="23.25">
      <c r="A54" s="133">
        <v>2024</v>
      </c>
      <c r="B54" s="134" t="s">
        <v>41</v>
      </c>
      <c r="C54" s="134" t="s">
        <v>157</v>
      </c>
      <c r="D54" s="135">
        <v>17</v>
      </c>
      <c r="E54" s="136">
        <f>D54/(D54+D55+D56+D57)</f>
        <v>8.808290155440414E-2</v>
      </c>
      <c r="F54" s="137" t="s">
        <v>126</v>
      </c>
      <c r="G54" s="138" t="s">
        <v>329</v>
      </c>
    </row>
    <row r="55" customHeight="1" ht="15.75">
      <c r="A55" s="139">
        <v>2024</v>
      </c>
      <c r="B55" s="127" t="s">
        <v>41</v>
      </c>
      <c r="C55" s="127" t="s">
        <v>38</v>
      </c>
      <c r="D55" s="140">
        <v>72</v>
      </c>
      <c r="E55" s="123">
        <f>D55/(D54+D55+D56+D57)</f>
        <v>0.37305699481865284</v>
      </c>
      <c r="F55" s="124" t="s">
        <v>126</v>
      </c>
      <c r="G55" s="125" t="s">
        <v>330</v>
      </c>
    </row>
    <row r="56" customHeight="1" ht="15.75">
      <c r="A56" s="139">
        <v>2024</v>
      </c>
      <c r="B56" s="128" t="s">
        <v>41</v>
      </c>
      <c r="C56" s="128" t="s">
        <v>134</v>
      </c>
      <c r="D56" s="140">
        <v>66</v>
      </c>
      <c r="E56" s="123">
        <f>D56/(D54+D55+D56+D57)</f>
        <v>0.34196891191709844</v>
      </c>
      <c r="F56" s="124" t="s">
        <v>133</v>
      </c>
      <c r="G56" s="125" t="s">
        <v>330</v>
      </c>
    </row>
    <row r="57">
      <c r="A57" s="139">
        <v>2024</v>
      </c>
      <c r="B57" s="129" t="s">
        <v>41</v>
      </c>
      <c r="C57" s="129" t="s">
        <v>131</v>
      </c>
      <c r="D57" s="140">
        <v>38</v>
      </c>
      <c r="E57" s="123">
        <f>D57/(D54+D55+D56+D57)</f>
        <v>0.19689119170984457</v>
      </c>
      <c r="F57" s="124" t="s">
        <v>130</v>
      </c>
      <c r="G57" s="125" t="s">
        <v>330</v>
      </c>
    </row>
  </sheetData>
  <mergeCells count="2">
    <mergeCell ref="A2:G2"/>
    <mergeCell ref="A41:G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G11" activeCellId="0" sqref="G11"/>
    </sheetView>
  </sheetViews>
  <sheetFormatPr defaultRowHeight="15" outlineLevelRow="0" outlineLevelCol="0" defaultColWidth="8.7265625"/>
  <cols>
    <col min="1" max="1" width="14.7265625" customWidth="1"/>
    <col min="2" max="2" width="11.6328125" customWidth="1"/>
    <col min="3" max="3" width="11.6328125" customWidth="1"/>
    <col min="4" max="4" width="11.6328125" customWidth="1"/>
    <col min="5" max="5" width="11.6328125" customWidth="1"/>
  </cols>
  <sheetData>
    <row r="1">
      <c r="A1" t="s">
        <v>331</v>
      </c>
      <c r="B1" t="s">
        <v>334</v>
      </c>
      <c r="C1" t="s">
        <v>336</v>
      </c>
      <c r="D1" t="s">
        <v>338</v>
      </c>
      <c r="E1" t="s">
        <v>340</v>
      </c>
    </row>
    <row r="2">
      <c r="A2" s="121" t="s">
        <v>23</v>
      </c>
    </row>
    <row r="3">
      <c r="A3" s="121" t="s">
        <v>98</v>
      </c>
    </row>
    <row r="4">
      <c r="A4" s="126" t="s">
        <v>40</v>
      </c>
      <c r="B4" s="7">
        <v>15</v>
      </c>
      <c r="C4">
        <v>16</v>
      </c>
      <c r="D4">
        <v>22</v>
      </c>
      <c r="E4">
        <v>17</v>
      </c>
    </row>
    <row r="5">
      <c r="A5" s="127" t="s">
        <v>32</v>
      </c>
      <c r="B5" s="7"/>
      <c r="C5">
        <v>17</v>
      </c>
      <c r="D5">
        <v>75</v>
      </c>
      <c r="E5">
        <v>72</v>
      </c>
    </row>
    <row r="6">
      <c r="A6" s="128" t="s">
        <v>33</v>
      </c>
      <c r="B6" s="7">
        <v>295</v>
      </c>
      <c r="C6" s="7">
        <v>31</v>
      </c>
      <c r="D6">
        <v>31</v>
      </c>
      <c r="E6">
        <v>66</v>
      </c>
    </row>
    <row r="7">
      <c r="A7" s="128" t="s">
        <v>50</v>
      </c>
      <c r="B7" s="7"/>
      <c r="C7" s="7"/>
    </row>
    <row r="8">
      <c r="A8" s="128" t="s">
        <v>43</v>
      </c>
      <c r="B8">
        <v>16</v>
      </c>
    </row>
    <row r="9">
      <c r="A9" s="129" t="s">
        <v>14</v>
      </c>
      <c r="D9">
        <v>23</v>
      </c>
      <c r="E9">
        <v>38</v>
      </c>
    </row>
    <row r="10">
      <c r="A10" s="129" t="s">
        <v>51</v>
      </c>
      <c r="B10">
        <v>18</v>
      </c>
    </row>
    <row r="11">
      <c r="A11" s="130" t="s">
        <v>45</v>
      </c>
      <c r="B11" s="7">
        <v>29</v>
      </c>
      <c r="C11" s="7">
        <v>314</v>
      </c>
    </row>
    <row r="12">
      <c r="A12" s="130" t="s">
        <v>35</v>
      </c>
      <c r="B12" s="7"/>
      <c r="C12" s="7"/>
    </row>
    <row r="13">
      <c r="A13" s="130" t="s">
        <v>24</v>
      </c>
      <c r="B13" s="7"/>
      <c r="C13" s="7"/>
    </row>
    <row r="14">
      <c r="A14" s="130" t="s">
        <v>25</v>
      </c>
      <c r="B14" s="7"/>
      <c r="C14" s="7"/>
    </row>
    <row r="15">
      <c r="A15" s="130" t="s">
        <v>84</v>
      </c>
      <c r="B15" s="7"/>
      <c r="C15" s="7"/>
    </row>
    <row r="16">
      <c r="A16" s="130" t="s">
        <v>85</v>
      </c>
      <c r="B16" s="7"/>
      <c r="C16" s="7"/>
    </row>
    <row r="17">
      <c r="A17" s="130" t="s">
        <v>86</v>
      </c>
      <c r="B17" s="7"/>
      <c r="C17" s="7"/>
    </row>
    <row r="18">
      <c r="A18" s="130" t="s">
        <v>30</v>
      </c>
      <c r="B18" s="7"/>
      <c r="C18" s="7"/>
    </row>
    <row r="19">
      <c r="A19" s="130" t="s">
        <v>36</v>
      </c>
      <c r="B19" s="7"/>
      <c r="D19">
        <v>172</v>
      </c>
      <c r="E19">
        <v>96</v>
      </c>
    </row>
    <row r="20">
      <c r="A20" s="130" t="s">
        <v>95</v>
      </c>
      <c r="B20" s="7"/>
      <c r="C20">
        <v>47</v>
      </c>
      <c r="D20">
        <v>48</v>
      </c>
      <c r="E20">
        <v>36</v>
      </c>
    </row>
    <row r="21">
      <c r="A21" s="130" t="s">
        <v>47</v>
      </c>
      <c r="B21" s="7"/>
      <c r="C21">
        <v>35</v>
      </c>
      <c r="D21">
        <v>16</v>
      </c>
      <c r="E21">
        <v>22</v>
      </c>
    </row>
    <row r="22">
      <c r="A22" s="130" t="s">
        <v>46</v>
      </c>
      <c r="D22">
        <v>30</v>
      </c>
      <c r="E22">
        <v>33</v>
      </c>
    </row>
    <row r="23">
      <c r="A23" s="130" t="s">
        <v>44</v>
      </c>
    </row>
    <row r="24">
      <c r="A24" s="130" t="s">
        <v>242</v>
      </c>
    </row>
    <row r="25">
      <c r="A25" s="130" t="s">
        <v>243</v>
      </c>
    </row>
    <row r="26">
      <c r="A26" s="131" t="s">
        <v>21</v>
      </c>
      <c r="B26" s="7">
        <v>196</v>
      </c>
    </row>
    <row r="27">
      <c r="A27" s="131" t="s">
        <v>31</v>
      </c>
      <c r="B27" s="7"/>
      <c r="C27">
        <v>100</v>
      </c>
      <c r="D27">
        <v>62</v>
      </c>
      <c r="E27">
        <v>47</v>
      </c>
    </row>
    <row r="28">
      <c r="A28" s="131" t="s">
        <v>26</v>
      </c>
      <c r="B28" s="7"/>
      <c r="C28" s="7">
        <v>17</v>
      </c>
    </row>
    <row r="29">
      <c r="A29" s="132" t="s">
        <v>34</v>
      </c>
      <c r="C29" s="7"/>
    </row>
    <row r="30">
      <c r="A30" s="132" t="s">
        <v>20</v>
      </c>
      <c r="B30" s="7">
        <v>8</v>
      </c>
      <c r="C30" s="7"/>
    </row>
    <row r="31">
      <c r="A31" s="132" t="s">
        <v>37</v>
      </c>
      <c r="B31" s="7"/>
      <c r="C31" s="7"/>
      <c r="D31">
        <v>89</v>
      </c>
      <c r="E31">
        <v>126</v>
      </c>
    </row>
    <row r="32">
      <c r="A32" s="132" t="s">
        <v>49</v>
      </c>
      <c r="B32" s="7"/>
      <c r="C32" s="7"/>
      <c r="D32">
        <v>9</v>
      </c>
      <c r="E32">
        <v>8</v>
      </c>
    </row>
    <row r="33">
      <c r="A33" s="132" t="s">
        <v>100</v>
      </c>
    </row>
    <row r="34">
      <c r="A34" s="132" t="s">
        <v>39</v>
      </c>
    </row>
    <row r="35">
      <c r="A35" s="132" t="s">
        <v>48</v>
      </c>
    </row>
    <row r="36">
      <c r="A36" s="132" t="s">
        <v>42</v>
      </c>
      <c r="E36">
        <v>16</v>
      </c>
    </row>
    <row r="37">
      <c r="A37" s="132" t="s">
        <v>244</v>
      </c>
    </row>
    <row r="38">
      <c r="B38">
        <f>SUM(B2:B37)</f>
        <v>577</v>
      </c>
      <c r="C38">
        <f>SUM(C2:C37)</f>
        <v>577</v>
      </c>
      <c r="D38">
        <f>SUM(D2:D37)</f>
        <v>577</v>
      </c>
      <c r="E38">
        <f>SUM(E2:E37)</f>
        <v>577</v>
      </c>
    </row>
  </sheetData>
  <mergeCells count="8">
    <mergeCell ref="B4:B5"/>
    <mergeCell ref="B6:B7"/>
    <mergeCell ref="C6:C7"/>
    <mergeCell ref="B11:B21"/>
    <mergeCell ref="C11:C18"/>
    <mergeCell ref="B26:B28"/>
    <mergeCell ref="C28:C32"/>
    <mergeCell ref="B30:B32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Pepinou Token</dc:creator>
  <cp:lastModifiedBy>Pepinou Token</cp:lastModifiedBy>
  <dcterms:created xsi:type="dcterms:W3CDTF">2026-06-26T07:37:23Z</dcterms:created>
  <dcterms:modified xsi:type="dcterms:W3CDTF">2026-07-21T05:19:48Z</dcterms:modified>
</cp:coreProperties>
</file>