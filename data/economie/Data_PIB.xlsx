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eurs_ref" sheetId="1" state="visible" r:id="rId3"/>
    <sheet name="PIB_niveau" sheetId="2" state="visible" r:id="rId4"/>
    <sheet name="PIB_croissance" sheetId="3" state="visible" r:id="rId5"/>
    <sheet name="International_compara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<sst xmlns="http://schemas.openxmlformats.org/spreadsheetml/2006/main" count="746" uniqueCount="355">
  <si>
    <t xml:space="preserve">Indicateur</t>
  </si>
  <si>
    <t xml:space="preserve">Source</t>
  </si>
  <si>
    <t xml:space="preserve">Périodicité</t>
  </si>
  <si>
    <t xml:space="preserve">Champ</t>
  </si>
  <si>
    <t xml:space="preserve">Dernière donnée</t>
  </si>
  <si>
    <t xml:space="preserve">URL</t>
  </si>
  <si>
    <t xml:space="preserve">Note méthodologique</t>
  </si>
  <si>
    <t xml:space="preserve">PIB en valeur (prix courants)</t>
  </si>
  <si>
    <t xml:space="preserve">Insee, Comptes nationaux trimestriels, base 2020</t>
  </si>
  <si>
    <t xml:space="preserve">Trimestriel</t>
  </si>
  <si>
    <t xml:space="preserve">France</t>
  </si>
  <si>
    <t xml:space="preserve">2026-T2</t>
  </si>
  <si>
    <t xml:space="preserve">https://www.insee.fr/fr/statistiques/series/110309498</t>
  </si>
  <si>
    <t xml:space="preserve">Fichier source : t_pib_val.xls, onglet 'Niveaux'. Données CVS-CJO, en milliards d'euros.</t>
  </si>
  <si>
    <t xml:space="preserve">PIB en volume (prix de l'année précédente chaînés)</t>
  </si>
  <si>
    <t xml:space="preserve">Fichier source : t_pib_vol.xls, onglet 'Niveaux'. Sert à mesurer la croissance hors effet prix (inflation).</t>
  </si>
  <si>
    <t xml:space="preserve">Croissance trimestrielle du PIB (%, volume)</t>
  </si>
  <si>
    <t xml:space="preserve">https://www.insee.fr/fr/statistiques/2830547</t>
  </si>
  <si>
    <t xml:space="preserve">Fichier source : econ-gen-pib-composante-trim.xlsx. Variation par rapport au trimestre précédent, CVS-CJO.</t>
  </si>
  <si>
    <t xml:space="preserve">Déflateur du PIB (indice)</t>
  </si>
  <si>
    <t xml:space="preserve">Calculé : PIB valeur / PIB volume x 100</t>
  </si>
  <si>
    <t xml:space="preserve">-</t>
  </si>
  <si>
    <t xml:space="preserve">Indicateur calculé dans cette feuille, pas une série officielle brute. Mesure l'écart entre euros courants et euros constants (proxy d'inflation sur le champ du PIB).</t>
  </si>
  <si>
    <t xml:space="preserve">Comparaison internationale (France, Allemagne, Etats-Unis, Japon, Royaume-Uni, zone euro/OCDE)</t>
  </si>
  <si>
    <t xml:space="preserve">OCDE, Perspectives économiques (Economic Outlook n°119, 2026/2)</t>
  </si>
  <si>
    <t xml:space="preserve">Annuel</t>
  </si>
  <si>
    <t xml:space="preserve">International</t>
  </si>
  <si>
    <t xml:space="preserve">2027 (prévisions incluses)</t>
  </si>
  <si>
    <t xml:space="preserve">https://www.oecd.org/fr/data/indicators/real-gdp-forecast.html</t>
  </si>
  <si>
    <t xml:space="preserve">Croissance NOMINALE du PIB (valeur courante, mesure OCDE 'GDP'), calculée par nous à partir des niveaux en monnaie nationale (pas de série 'volume'/réelle disponible pour tous les pays dans l'export). Contrairement à la série France (PIB_croissance, en volume/réel), celle-ci inclut l'effet de l'inflation propre à chaque pays : à manier avec prudence pour une comparaison stricte, et à signaler clairement dans une popup méthodo sur le site. Source : OCDE, Perspectives économiques n°119 (2026/2), mesure GDP, prix courants, monnaie nationale, par pays.</t>
  </si>
  <si>
    <t xml:space="preserve">Trimestre</t>
  </si>
  <si>
    <t xml:space="preserve">Année</t>
  </si>
  <si>
    <t xml:space="preserve">PIB_valeur_MdEUR</t>
  </si>
  <si>
    <t xml:space="preserve">PIB_volume_MdEUR</t>
  </si>
  <si>
    <t xml:space="preserve">Deflateur_PIB_indice</t>
  </si>
  <si>
    <t xml:space="preserve">1949-T2</t>
  </si>
  <si>
    <t xml:space="preserve">1949-T3</t>
  </si>
  <si>
    <t xml:space="preserve">1949-T4</t>
  </si>
  <si>
    <t xml:space="preserve">1950-T1</t>
  </si>
  <si>
    <t xml:space="preserve">1950-T2</t>
  </si>
  <si>
    <t xml:space="preserve">1950-T3</t>
  </si>
  <si>
    <t xml:space="preserve">1950-T4</t>
  </si>
  <si>
    <t xml:space="preserve">1951-T1</t>
  </si>
  <si>
    <t xml:space="preserve">1951-T2</t>
  </si>
  <si>
    <t xml:space="preserve">1951-T3</t>
  </si>
  <si>
    <t xml:space="preserve">1951-T4</t>
  </si>
  <si>
    <t xml:space="preserve">1952-T1</t>
  </si>
  <si>
    <t xml:space="preserve">1952-T2</t>
  </si>
  <si>
    <t xml:space="preserve">1952-T3</t>
  </si>
  <si>
    <t xml:space="preserve">1952-T4</t>
  </si>
  <si>
    <t xml:space="preserve">1953-T1</t>
  </si>
  <si>
    <t xml:space="preserve">1953-T2</t>
  </si>
  <si>
    <t xml:space="preserve">1953-T3</t>
  </si>
  <si>
    <t xml:space="preserve">1953-T4</t>
  </si>
  <si>
    <t xml:space="preserve">1954-T1</t>
  </si>
  <si>
    <t xml:space="preserve">1954-T2</t>
  </si>
  <si>
    <t xml:space="preserve">1954-T3</t>
  </si>
  <si>
    <t xml:space="preserve">1954-T4</t>
  </si>
  <si>
    <t xml:space="preserve">1955-T1</t>
  </si>
  <si>
    <t xml:space="preserve">1955-T2</t>
  </si>
  <si>
    <t xml:space="preserve">1955-T3</t>
  </si>
  <si>
    <t xml:space="preserve">1955-T4</t>
  </si>
  <si>
    <t xml:space="preserve">1956-T1</t>
  </si>
  <si>
    <t xml:space="preserve">1956-T2</t>
  </si>
  <si>
    <t xml:space="preserve">1956-T3</t>
  </si>
  <si>
    <t xml:space="preserve">1956-T4</t>
  </si>
  <si>
    <t xml:space="preserve">1957-T1</t>
  </si>
  <si>
    <t xml:space="preserve">1957-T2</t>
  </si>
  <si>
    <t xml:space="preserve">1957-T3</t>
  </si>
  <si>
    <t xml:space="preserve">1957-T4</t>
  </si>
  <si>
    <t xml:space="preserve">1958-T1</t>
  </si>
  <si>
    <t xml:space="preserve">1958-T2</t>
  </si>
  <si>
    <t xml:space="preserve">1958-T3</t>
  </si>
  <si>
    <t xml:space="preserve">1958-T4</t>
  </si>
  <si>
    <t xml:space="preserve">1959-T1</t>
  </si>
  <si>
    <t xml:space="preserve">1959-T2</t>
  </si>
  <si>
    <t xml:space="preserve">1959-T3</t>
  </si>
  <si>
    <t xml:space="preserve">1959-T4</t>
  </si>
  <si>
    <t xml:space="preserve">1960-T1</t>
  </si>
  <si>
    <t xml:space="preserve">1960-T2</t>
  </si>
  <si>
    <t xml:space="preserve">1960-T3</t>
  </si>
  <si>
    <t xml:space="preserve">1960-T4</t>
  </si>
  <si>
    <t xml:space="preserve">1961-T1</t>
  </si>
  <si>
    <t xml:space="preserve">1961-T2</t>
  </si>
  <si>
    <t xml:space="preserve">1961-T3</t>
  </si>
  <si>
    <t xml:space="preserve">1961-T4</t>
  </si>
  <si>
    <t xml:space="preserve">1962-T1</t>
  </si>
  <si>
    <t xml:space="preserve">1962-T2</t>
  </si>
  <si>
    <t xml:space="preserve">1962-T3</t>
  </si>
  <si>
    <t xml:space="preserve">1962-T4</t>
  </si>
  <si>
    <t xml:space="preserve">1963-T1</t>
  </si>
  <si>
    <t xml:space="preserve">1963-T2</t>
  </si>
  <si>
    <t xml:space="preserve">1963-T3</t>
  </si>
  <si>
    <t xml:space="preserve">1963-T4</t>
  </si>
  <si>
    <t xml:space="preserve">1964-T1</t>
  </si>
  <si>
    <t xml:space="preserve">1964-T2</t>
  </si>
  <si>
    <t xml:space="preserve">1964-T3</t>
  </si>
  <si>
    <t xml:space="preserve">1964-T4</t>
  </si>
  <si>
    <t xml:space="preserve">1965-T1</t>
  </si>
  <si>
    <t xml:space="preserve">1965-T2</t>
  </si>
  <si>
    <t xml:space="preserve">1965-T3</t>
  </si>
  <si>
    <t xml:space="preserve">1965-T4</t>
  </si>
  <si>
    <t xml:space="preserve">1966-T1</t>
  </si>
  <si>
    <t xml:space="preserve">1966-T2</t>
  </si>
  <si>
    <t xml:space="preserve">1966-T3</t>
  </si>
  <si>
    <t xml:space="preserve">1966-T4</t>
  </si>
  <si>
    <t xml:space="preserve">1967-T1</t>
  </si>
  <si>
    <t xml:space="preserve">1967-T2</t>
  </si>
  <si>
    <t xml:space="preserve">1967-T3</t>
  </si>
  <si>
    <t xml:space="preserve">1967-T4</t>
  </si>
  <si>
    <t xml:space="preserve">1968-T1</t>
  </si>
  <si>
    <t xml:space="preserve">1968-T2</t>
  </si>
  <si>
    <t xml:space="preserve">1968-T3</t>
  </si>
  <si>
    <t xml:space="preserve">1968-T4</t>
  </si>
  <si>
    <t xml:space="preserve">1969-T1</t>
  </si>
  <si>
    <t xml:space="preserve">1969-T2</t>
  </si>
  <si>
    <t xml:space="preserve">1969-T3</t>
  </si>
  <si>
    <t xml:space="preserve">1969-T4</t>
  </si>
  <si>
    <t xml:space="preserve">1970-T1</t>
  </si>
  <si>
    <t xml:space="preserve">1970-T2</t>
  </si>
  <si>
    <t xml:space="preserve">1970-T3</t>
  </si>
  <si>
    <t xml:space="preserve">1970-T4</t>
  </si>
  <si>
    <t xml:space="preserve">1971-T1</t>
  </si>
  <si>
    <t xml:space="preserve">1971-T2</t>
  </si>
  <si>
    <t xml:space="preserve">1971-T3</t>
  </si>
  <si>
    <t xml:space="preserve">1971-T4</t>
  </si>
  <si>
    <t xml:space="preserve">1972-T1</t>
  </si>
  <si>
    <t xml:space="preserve">1972-T2</t>
  </si>
  <si>
    <t xml:space="preserve">1972-T3</t>
  </si>
  <si>
    <t xml:space="preserve">1972-T4</t>
  </si>
  <si>
    <t xml:space="preserve">1973-T1</t>
  </si>
  <si>
    <t xml:space="preserve">1973-T2</t>
  </si>
  <si>
    <t xml:space="preserve">1973-T3</t>
  </si>
  <si>
    <t xml:space="preserve">1973-T4</t>
  </si>
  <si>
    <t xml:space="preserve">1974-T1</t>
  </si>
  <si>
    <t xml:space="preserve">1974-T2</t>
  </si>
  <si>
    <t xml:space="preserve">1974-T3</t>
  </si>
  <si>
    <t xml:space="preserve">1974-T4</t>
  </si>
  <si>
    <t xml:space="preserve">1975-T1</t>
  </si>
  <si>
    <t xml:space="preserve">1975-T2</t>
  </si>
  <si>
    <t xml:space="preserve">1975-T3</t>
  </si>
  <si>
    <t xml:space="preserve">1975-T4</t>
  </si>
  <si>
    <t xml:space="preserve">1976-T1</t>
  </si>
  <si>
    <t xml:space="preserve">1976-T2</t>
  </si>
  <si>
    <t xml:space="preserve">1976-T3</t>
  </si>
  <si>
    <t xml:space="preserve">1976-T4</t>
  </si>
  <si>
    <t xml:space="preserve">1977-T1</t>
  </si>
  <si>
    <t xml:space="preserve">1977-T2</t>
  </si>
  <si>
    <t xml:space="preserve">1977-T3</t>
  </si>
  <si>
    <t xml:space="preserve">1977-T4</t>
  </si>
  <si>
    <t xml:space="preserve">1978-T1</t>
  </si>
  <si>
    <t xml:space="preserve">1978-T2</t>
  </si>
  <si>
    <t xml:space="preserve">1978-T3</t>
  </si>
  <si>
    <t xml:space="preserve">1978-T4</t>
  </si>
  <si>
    <t xml:space="preserve">1979-T1</t>
  </si>
  <si>
    <t xml:space="preserve">1979-T2</t>
  </si>
  <si>
    <t xml:space="preserve">1979-T3</t>
  </si>
  <si>
    <t xml:space="preserve">1979-T4</t>
  </si>
  <si>
    <t xml:space="preserve">1980-T1</t>
  </si>
  <si>
    <t xml:space="preserve">1980-T2</t>
  </si>
  <si>
    <t xml:space="preserve">1980-T3</t>
  </si>
  <si>
    <t xml:space="preserve">1980-T4</t>
  </si>
  <si>
    <t xml:space="preserve">1981-T1</t>
  </si>
  <si>
    <t xml:space="preserve">1981-T2</t>
  </si>
  <si>
    <t xml:space="preserve">1981-T3</t>
  </si>
  <si>
    <t xml:space="preserve">1981-T4</t>
  </si>
  <si>
    <t xml:space="preserve">1982-T1</t>
  </si>
  <si>
    <t xml:space="preserve">1982-T2</t>
  </si>
  <si>
    <t xml:space="preserve">1982-T3</t>
  </si>
  <si>
    <t xml:space="preserve">1982-T4</t>
  </si>
  <si>
    <t xml:space="preserve">1983-T1</t>
  </si>
  <si>
    <t xml:space="preserve">1983-T2</t>
  </si>
  <si>
    <t xml:space="preserve">1983-T3</t>
  </si>
  <si>
    <t xml:space="preserve">1983-T4</t>
  </si>
  <si>
    <t xml:space="preserve">1984-T1</t>
  </si>
  <si>
    <t xml:space="preserve">1984-T2</t>
  </si>
  <si>
    <t xml:space="preserve">1984-T3</t>
  </si>
  <si>
    <t xml:space="preserve">1984-T4</t>
  </si>
  <si>
    <t xml:space="preserve">1985-T1</t>
  </si>
  <si>
    <t xml:space="preserve">1985-T2</t>
  </si>
  <si>
    <t xml:space="preserve">1985-T3</t>
  </si>
  <si>
    <t xml:space="preserve">1985-T4</t>
  </si>
  <si>
    <t xml:space="preserve">1986-T1</t>
  </si>
  <si>
    <t xml:space="preserve">1986-T2</t>
  </si>
  <si>
    <t xml:space="preserve">1986-T3</t>
  </si>
  <si>
    <t xml:space="preserve">1986-T4</t>
  </si>
  <si>
    <t xml:space="preserve">1987-T1</t>
  </si>
  <si>
    <t xml:space="preserve">1987-T2</t>
  </si>
  <si>
    <t xml:space="preserve">1987-T3</t>
  </si>
  <si>
    <t xml:space="preserve">1987-T4</t>
  </si>
  <si>
    <t xml:space="preserve">1988-T1</t>
  </si>
  <si>
    <t xml:space="preserve">1988-T2</t>
  </si>
  <si>
    <t xml:space="preserve">1988-T3</t>
  </si>
  <si>
    <t xml:space="preserve">1988-T4</t>
  </si>
  <si>
    <t xml:space="preserve">1989-T1</t>
  </si>
  <si>
    <t xml:space="preserve">1989-T2</t>
  </si>
  <si>
    <t xml:space="preserve">1989-T3</t>
  </si>
  <si>
    <t xml:space="preserve">1989-T4</t>
  </si>
  <si>
    <t xml:space="preserve">1990-T1</t>
  </si>
  <si>
    <t xml:space="preserve">1990-T2</t>
  </si>
  <si>
    <t xml:space="preserve">1990-T3</t>
  </si>
  <si>
    <t xml:space="preserve">1990-T4</t>
  </si>
  <si>
    <t xml:space="preserve">1991-T1</t>
  </si>
  <si>
    <t xml:space="preserve">1991-T2</t>
  </si>
  <si>
    <t xml:space="preserve">1991-T3</t>
  </si>
  <si>
    <t xml:space="preserve">1991-T4</t>
  </si>
  <si>
    <t xml:space="preserve">1992-T1</t>
  </si>
  <si>
    <t xml:space="preserve">1992-T2</t>
  </si>
  <si>
    <t xml:space="preserve">1992-T3</t>
  </si>
  <si>
    <t xml:space="preserve">1992-T4</t>
  </si>
  <si>
    <t xml:space="preserve">1993-T1</t>
  </si>
  <si>
    <t xml:space="preserve">1993-T2</t>
  </si>
  <si>
    <t xml:space="preserve">1993-T3</t>
  </si>
  <si>
    <t xml:space="preserve">1993-T4</t>
  </si>
  <si>
    <t xml:space="preserve">1994-T1</t>
  </si>
  <si>
    <t xml:space="preserve">1994-T2</t>
  </si>
  <si>
    <t xml:space="preserve">1994-T3</t>
  </si>
  <si>
    <t xml:space="preserve">1994-T4</t>
  </si>
  <si>
    <t xml:space="preserve">1995-T1</t>
  </si>
  <si>
    <t xml:space="preserve">1995-T2</t>
  </si>
  <si>
    <t xml:space="preserve">1995-T3</t>
  </si>
  <si>
    <t xml:space="preserve">1995-T4</t>
  </si>
  <si>
    <t xml:space="preserve">1996-T1</t>
  </si>
  <si>
    <t xml:space="preserve">1996-T2</t>
  </si>
  <si>
    <t xml:space="preserve">1996-T3</t>
  </si>
  <si>
    <t xml:space="preserve">1996-T4</t>
  </si>
  <si>
    <t xml:space="preserve">1997-T1</t>
  </si>
  <si>
    <t xml:space="preserve">1997-T2</t>
  </si>
  <si>
    <t xml:space="preserve">1997-T3</t>
  </si>
  <si>
    <t xml:space="preserve">1997-T4</t>
  </si>
  <si>
    <t xml:space="preserve">1998-T1</t>
  </si>
  <si>
    <t xml:space="preserve">1998-T2</t>
  </si>
  <si>
    <t xml:space="preserve">1998-T3</t>
  </si>
  <si>
    <t xml:space="preserve">1998-T4</t>
  </si>
  <si>
    <t xml:space="preserve">1999-T1</t>
  </si>
  <si>
    <t xml:space="preserve">1999-T2</t>
  </si>
  <si>
    <t xml:space="preserve">1999-T3</t>
  </si>
  <si>
    <t xml:space="preserve">1999-T4</t>
  </si>
  <si>
    <t xml:space="preserve">2000-T1</t>
  </si>
  <si>
    <t xml:space="preserve">2000-T2</t>
  </si>
  <si>
    <t xml:space="preserve">2000-T3</t>
  </si>
  <si>
    <t xml:space="preserve">2000-T4</t>
  </si>
  <si>
    <t xml:space="preserve">2001-T1</t>
  </si>
  <si>
    <t xml:space="preserve">2001-T2</t>
  </si>
  <si>
    <t xml:space="preserve">2001-T3</t>
  </si>
  <si>
    <t xml:space="preserve">2001-T4</t>
  </si>
  <si>
    <t xml:space="preserve">2002-T1</t>
  </si>
  <si>
    <t xml:space="preserve">2002-T2</t>
  </si>
  <si>
    <t xml:space="preserve">2002-T3</t>
  </si>
  <si>
    <t xml:space="preserve">2002-T4</t>
  </si>
  <si>
    <t xml:space="preserve">2003-T1</t>
  </si>
  <si>
    <t xml:space="preserve">2003-T2</t>
  </si>
  <si>
    <t xml:space="preserve">2003-T3</t>
  </si>
  <si>
    <t xml:space="preserve">2003-T4</t>
  </si>
  <si>
    <t xml:space="preserve">2004-T1</t>
  </si>
  <si>
    <t xml:space="preserve">2004-T2</t>
  </si>
  <si>
    <t xml:space="preserve">2004-T3</t>
  </si>
  <si>
    <t xml:space="preserve">2004-T4</t>
  </si>
  <si>
    <t xml:space="preserve">2005-T1</t>
  </si>
  <si>
    <t xml:space="preserve">2005-T2</t>
  </si>
  <si>
    <t xml:space="preserve">2005-T3</t>
  </si>
  <si>
    <t xml:space="preserve">2005-T4</t>
  </si>
  <si>
    <t xml:space="preserve">2006-T1</t>
  </si>
  <si>
    <t xml:space="preserve">2006-T2</t>
  </si>
  <si>
    <t xml:space="preserve">2006-T3</t>
  </si>
  <si>
    <t xml:space="preserve">2006-T4</t>
  </si>
  <si>
    <t xml:space="preserve">2007-T1</t>
  </si>
  <si>
    <t xml:space="preserve">2007-T2</t>
  </si>
  <si>
    <t xml:space="preserve">2007-T3</t>
  </si>
  <si>
    <t xml:space="preserve">2007-T4</t>
  </si>
  <si>
    <t xml:space="preserve">2008-T1</t>
  </si>
  <si>
    <t xml:space="preserve">2008-T2</t>
  </si>
  <si>
    <t xml:space="preserve">2008-T3</t>
  </si>
  <si>
    <t xml:space="preserve">2008-T4</t>
  </si>
  <si>
    <t xml:space="preserve">2009-T1</t>
  </si>
  <si>
    <t xml:space="preserve">2009-T2</t>
  </si>
  <si>
    <t xml:space="preserve">2009-T3</t>
  </si>
  <si>
    <t xml:space="preserve">2009-T4</t>
  </si>
  <si>
    <t xml:space="preserve">2010-T1</t>
  </si>
  <si>
    <t xml:space="preserve">2010-T2</t>
  </si>
  <si>
    <t xml:space="preserve">2010-T3</t>
  </si>
  <si>
    <t xml:space="preserve">2010-T4</t>
  </si>
  <si>
    <t xml:space="preserve">2011-T1</t>
  </si>
  <si>
    <t xml:space="preserve">2011-T2</t>
  </si>
  <si>
    <t xml:space="preserve">2011-T3</t>
  </si>
  <si>
    <t xml:space="preserve">2011-T4</t>
  </si>
  <si>
    <t xml:space="preserve">2012-T1</t>
  </si>
  <si>
    <t xml:space="preserve">2012-T2</t>
  </si>
  <si>
    <t xml:space="preserve">2012-T3</t>
  </si>
  <si>
    <t xml:space="preserve">2012-T4</t>
  </si>
  <si>
    <t xml:space="preserve">2013-T1</t>
  </si>
  <si>
    <t xml:space="preserve">2013-T2</t>
  </si>
  <si>
    <t xml:space="preserve">2013-T3</t>
  </si>
  <si>
    <t xml:space="preserve">2013-T4</t>
  </si>
  <si>
    <t xml:space="preserve">2014-T1</t>
  </si>
  <si>
    <t xml:space="preserve">2014-T2</t>
  </si>
  <si>
    <t xml:space="preserve">2014-T3</t>
  </si>
  <si>
    <t xml:space="preserve">2014-T4</t>
  </si>
  <si>
    <t xml:space="preserve">2015-T1</t>
  </si>
  <si>
    <t xml:space="preserve">2015-T2</t>
  </si>
  <si>
    <t xml:space="preserve">2015-T3</t>
  </si>
  <si>
    <t xml:space="preserve">2015-T4</t>
  </si>
  <si>
    <t xml:space="preserve">2016-T1</t>
  </si>
  <si>
    <t xml:space="preserve">2016-T2</t>
  </si>
  <si>
    <t xml:space="preserve">2016-T3</t>
  </si>
  <si>
    <t xml:space="preserve">2016-T4</t>
  </si>
  <si>
    <t xml:space="preserve">2017-T1</t>
  </si>
  <si>
    <t xml:space="preserve">2017-T2</t>
  </si>
  <si>
    <t xml:space="preserve">2017-T3</t>
  </si>
  <si>
    <t xml:space="preserve">2017-T4</t>
  </si>
  <si>
    <t xml:space="preserve">2018-T1</t>
  </si>
  <si>
    <t xml:space="preserve">2018-T2</t>
  </si>
  <si>
    <t xml:space="preserve">2018-T3</t>
  </si>
  <si>
    <t xml:space="preserve">2018-T4</t>
  </si>
  <si>
    <t xml:space="preserve">2019-T1</t>
  </si>
  <si>
    <t xml:space="preserve">2019-T2</t>
  </si>
  <si>
    <t xml:space="preserve">2019-T3</t>
  </si>
  <si>
    <t xml:space="preserve">2019-T4</t>
  </si>
  <si>
    <t xml:space="preserve">2020-T1</t>
  </si>
  <si>
    <t xml:space="preserve">2020-T2</t>
  </si>
  <si>
    <t xml:space="preserve">2020-T3</t>
  </si>
  <si>
    <t xml:space="preserve">2020-T4</t>
  </si>
  <si>
    <t xml:space="preserve">2021-T1</t>
  </si>
  <si>
    <t xml:space="preserve">2021-T2</t>
  </si>
  <si>
    <t xml:space="preserve">2021-T3</t>
  </si>
  <si>
    <t xml:space="preserve">2021-T4</t>
  </si>
  <si>
    <t xml:space="preserve">2022-T1</t>
  </si>
  <si>
    <t xml:space="preserve">2022-T2</t>
  </si>
  <si>
    <t xml:space="preserve">2022-T3</t>
  </si>
  <si>
    <t xml:space="preserve">2022-T4</t>
  </si>
  <si>
    <t xml:space="preserve">2023-T1</t>
  </si>
  <si>
    <t xml:space="preserve">2023-T2</t>
  </si>
  <si>
    <t xml:space="preserve">2023-T3</t>
  </si>
  <si>
    <t xml:space="preserve">2023-T4</t>
  </si>
  <si>
    <t xml:space="preserve">2024-T1</t>
  </si>
  <si>
    <t xml:space="preserve">2024-T2</t>
  </si>
  <si>
    <t xml:space="preserve">2024-T3</t>
  </si>
  <si>
    <t xml:space="preserve">2024-T4</t>
  </si>
  <si>
    <t xml:space="preserve">2025-T1</t>
  </si>
  <si>
    <t xml:space="preserve">2025-T2</t>
  </si>
  <si>
    <t xml:space="preserve">2025-T3</t>
  </si>
  <si>
    <t xml:space="preserve">2025-T4</t>
  </si>
  <si>
    <t xml:space="preserve">2026-T1</t>
  </si>
  <si>
    <t xml:space="preserve">Croissance_trimestrielle_pct</t>
  </si>
  <si>
    <t xml:space="preserve">Croissance_glissante_annuelle_pct</t>
  </si>
  <si>
    <t xml:space="preserve">Allemagne</t>
  </si>
  <si>
    <t xml:space="preserve">Etats-Unis</t>
  </si>
  <si>
    <t xml:space="preserve">Japon</t>
  </si>
  <si>
    <t xml:space="preserve">Royaume-Uni</t>
  </si>
  <si>
    <t xml:space="preserve">Zone_euro</t>
  </si>
  <si>
    <t xml:space="preserve">OCDE_moyenne</t>
  </si>
  <si>
    <t xml:space="preserve">Type</t>
  </si>
  <si>
    <t xml:space="preserve">Historique</t>
  </si>
  <si>
    <t xml:space="preserve">Prévision</t>
  </si>
  <si>
    <t xml:space="preserve">Note : croissance NOMINALE (voir Indicateurs_ref) — inclut l'inflation de chaque pays, contrairement à la série France en volume de l'onglet PIB_croissance.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</si>
</sst>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0"/>
    <numFmt numFmtId="167" formatCode="0.00%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40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46"/>
    <col collapsed="false" customWidth="true" hidden="false" outlineLevel="0" max="7" min="7" style="1" width="60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3.25" hidden="false" customHeight="tru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23.25" hidden="false" customHeight="true" outlineLevel="0" collapsed="false">
      <c r="A3" s="3" t="s">
        <v>14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15</v>
      </c>
    </row>
    <row r="4" customFormat="false" ht="23.25" hidden="false" customHeight="true" outlineLevel="0" collapsed="false">
      <c r="A4" s="3" t="s">
        <v>16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17</v>
      </c>
      <c r="G4" s="3" t="s">
        <v>18</v>
      </c>
    </row>
    <row r="5" customFormat="false" ht="34.5" hidden="false" customHeight="true" outlineLevel="0" collapsed="false">
      <c r="A5" s="3" t="s">
        <v>19</v>
      </c>
      <c r="B5" s="3" t="s">
        <v>20</v>
      </c>
      <c r="C5" s="3" t="s">
        <v>9</v>
      </c>
      <c r="D5" s="3" t="s">
        <v>10</v>
      </c>
      <c r="E5" s="3" t="s">
        <v>11</v>
      </c>
      <c r="F5" s="3" t="s">
        <v>21</v>
      </c>
      <c r="G5" s="3" t="s">
        <v>22</v>
      </c>
    </row>
    <row r="6" customFormat="false" ht="57" hidden="false" customHeight="true" outlineLevel="0" collapsed="false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4" min="3" style="1" width="18"/>
    <col collapsed="false" customWidth="true" hidden="false" outlineLevel="0" max="5" min="5" style="1" width="20"/>
  </cols>
  <sheetData>
    <row r="1" customFormat="false" ht="15" hidden="false" customHeight="true" outlineLevel="0" collapsed="fals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</row>
    <row r="2" customFormat="false" ht="15" hidden="false" customHeight="true" outlineLevel="0" collapsed="false">
      <c r="A2" s="5" t="s">
        <v>35</v>
      </c>
      <c r="B2" s="5" t="n">
        <f aca="false">VALUE(LEFT(A2,4))</f>
        <v>1949</v>
      </c>
      <c r="C2" s="6" t="n">
        <v>3.221</v>
      </c>
      <c r="D2" s="6" t="n">
        <v>70.564</v>
      </c>
      <c r="E2" s="7" t="n">
        <f aca="false">C2/D2*100</f>
        <v>4.56465053001531</v>
      </c>
    </row>
    <row r="3" customFormat="false" ht="15" hidden="false" customHeight="true" outlineLevel="0" collapsed="false">
      <c r="A3" s="5" t="s">
        <v>36</v>
      </c>
      <c r="B3" s="5" t="n">
        <f aca="false">VALUE(LEFT(A3,4))</f>
        <v>1949</v>
      </c>
      <c r="C3" s="6" t="n">
        <v>3.323</v>
      </c>
      <c r="D3" s="6" t="n">
        <v>71.621</v>
      </c>
      <c r="E3" s="7" t="n">
        <f aca="false">C3/D3*100</f>
        <v>4.63970064645844</v>
      </c>
    </row>
    <row r="4" customFormat="false" ht="15" hidden="false" customHeight="true" outlineLevel="0" collapsed="false">
      <c r="A4" s="5" t="s">
        <v>37</v>
      </c>
      <c r="B4" s="5" t="n">
        <f aca="false">VALUE(LEFT(A4,4))</f>
        <v>1949</v>
      </c>
      <c r="C4" s="6" t="n">
        <v>3.415</v>
      </c>
      <c r="D4" s="6" t="n">
        <v>72.621</v>
      </c>
      <c r="E4" s="7" t="n">
        <f aca="false">C4/D4*100</f>
        <v>4.7024965230443</v>
      </c>
    </row>
    <row r="5" customFormat="false" ht="15" hidden="false" customHeight="true" outlineLevel="0" collapsed="false">
      <c r="A5" s="5" t="s">
        <v>38</v>
      </c>
      <c r="B5" s="5" t="n">
        <f aca="false">VALUE(LEFT(A5,4))</f>
        <v>1950</v>
      </c>
      <c r="C5" s="6" t="n">
        <v>3.558</v>
      </c>
      <c r="D5" s="6" t="n">
        <v>74.617</v>
      </c>
      <c r="E5" s="7" t="n">
        <f aca="false">C5/D5*100</f>
        <v>4.7683503759197</v>
      </c>
    </row>
    <row r="6" customFormat="false" ht="15" hidden="false" customHeight="true" outlineLevel="0" collapsed="false">
      <c r="A6" s="5" t="s">
        <v>39</v>
      </c>
      <c r="B6" s="5" t="n">
        <f aca="false">VALUE(LEFT(A6,4))</f>
        <v>1950</v>
      </c>
      <c r="C6" s="6" t="n">
        <v>3.745</v>
      </c>
      <c r="D6" s="6" t="n">
        <v>76.502</v>
      </c>
      <c r="E6" s="7" t="n">
        <f aca="false">C6/D6*100</f>
        <v>4.89529685498418</v>
      </c>
    </row>
    <row r="7" customFormat="false" ht="15" hidden="false" customHeight="true" outlineLevel="0" collapsed="false">
      <c r="A7" s="5" t="s">
        <v>40</v>
      </c>
      <c r="B7" s="5" t="n">
        <f aca="false">VALUE(LEFT(A7,4))</f>
        <v>1950</v>
      </c>
      <c r="C7" s="6" t="n">
        <v>3.961</v>
      </c>
      <c r="D7" s="6" t="n">
        <v>78.356</v>
      </c>
      <c r="E7" s="7" t="n">
        <f aca="false">C7/D7*100</f>
        <v>5.05513298279647</v>
      </c>
    </row>
    <row r="8" customFormat="false" ht="15" hidden="false" customHeight="true" outlineLevel="0" collapsed="false">
      <c r="A8" s="5" t="s">
        <v>41</v>
      </c>
      <c r="B8" s="5" t="n">
        <f aca="false">VALUE(LEFT(A8,4))</f>
        <v>1950</v>
      </c>
      <c r="C8" s="6" t="n">
        <v>4.141</v>
      </c>
      <c r="D8" s="6" t="n">
        <v>80.231</v>
      </c>
      <c r="E8" s="7" t="n">
        <f aca="false">C8/D8*100</f>
        <v>5.16134661165884</v>
      </c>
    </row>
    <row r="9" customFormat="false" ht="15" hidden="false" customHeight="true" outlineLevel="0" collapsed="false">
      <c r="A9" s="5" t="s">
        <v>42</v>
      </c>
      <c r="B9" s="5" t="n">
        <f aca="false">VALUE(LEFT(A9,4))</f>
        <v>1951</v>
      </c>
      <c r="C9" s="6" t="n">
        <v>4.378</v>
      </c>
      <c r="D9" s="6" t="n">
        <v>80.269</v>
      </c>
      <c r="E9" s="7" t="n">
        <f aca="false">C9/D9*100</f>
        <v>5.45416038570307</v>
      </c>
    </row>
    <row r="10" customFormat="false" ht="15" hidden="false" customHeight="true" outlineLevel="0" collapsed="false">
      <c r="A10" s="5" t="s">
        <v>43</v>
      </c>
      <c r="B10" s="5" t="n">
        <f aca="false">VALUE(LEFT(A10,4))</f>
        <v>1951</v>
      </c>
      <c r="C10" s="6" t="n">
        <v>4.731</v>
      </c>
      <c r="D10" s="6" t="n">
        <v>80.851</v>
      </c>
      <c r="E10" s="7" t="n">
        <f aca="false">C10/D10*100</f>
        <v>5.85150461960891</v>
      </c>
    </row>
    <row r="11" customFormat="false" ht="15" hidden="false" customHeight="true" outlineLevel="0" collapsed="false">
      <c r="A11" s="5" t="s">
        <v>44</v>
      </c>
      <c r="B11" s="5" t="n">
        <f aca="false">VALUE(LEFT(A11,4))</f>
        <v>1951</v>
      </c>
      <c r="C11" s="6" t="n">
        <v>4.955</v>
      </c>
      <c r="D11" s="6" t="n">
        <v>82.012</v>
      </c>
      <c r="E11" s="7" t="n">
        <f aca="false">C11/D11*100</f>
        <v>6.0417987611569</v>
      </c>
    </row>
    <row r="12" customFormat="false" ht="15" hidden="false" customHeight="true" outlineLevel="0" collapsed="false">
      <c r="A12" s="5" t="s">
        <v>45</v>
      </c>
      <c r="B12" s="5" t="n">
        <f aca="false">VALUE(LEFT(A12,4))</f>
        <v>1951</v>
      </c>
      <c r="C12" s="6" t="n">
        <v>5.338</v>
      </c>
      <c r="D12" s="6" t="n">
        <v>82.838</v>
      </c>
      <c r="E12" s="7" t="n">
        <f aca="false">C12/D12*100</f>
        <v>6.44390255679761</v>
      </c>
    </row>
    <row r="13" customFormat="false" ht="15" hidden="false" customHeight="true" outlineLevel="0" collapsed="false">
      <c r="A13" s="5" t="s">
        <v>46</v>
      </c>
      <c r="B13" s="5" t="n">
        <f aca="false">VALUE(LEFT(A13,4))</f>
        <v>1952</v>
      </c>
      <c r="C13" s="6" t="n">
        <v>5.619</v>
      </c>
      <c r="D13" s="6" t="n">
        <v>84.279</v>
      </c>
      <c r="E13" s="7" t="n">
        <f aca="false">C13/D13*100</f>
        <v>6.66714128074609</v>
      </c>
    </row>
    <row r="14" customFormat="false" ht="15" hidden="false" customHeight="true" outlineLevel="0" collapsed="false">
      <c r="A14" s="5" t="s">
        <v>47</v>
      </c>
      <c r="B14" s="5" t="n">
        <f aca="false">VALUE(LEFT(A14,4))</f>
        <v>1952</v>
      </c>
      <c r="C14" s="6" t="n">
        <v>5.595</v>
      </c>
      <c r="D14" s="6" t="n">
        <v>83.829</v>
      </c>
      <c r="E14" s="7" t="n">
        <f aca="false">C14/D14*100</f>
        <v>6.67430125612855</v>
      </c>
    </row>
    <row r="15" customFormat="false" ht="15" hidden="false" customHeight="true" outlineLevel="0" collapsed="false">
      <c r="A15" s="5" t="s">
        <v>48</v>
      </c>
      <c r="B15" s="5" t="n">
        <f aca="false">VALUE(LEFT(A15,4))</f>
        <v>1952</v>
      </c>
      <c r="C15" s="6" t="n">
        <v>5.712</v>
      </c>
      <c r="D15" s="6" t="n">
        <v>84.647</v>
      </c>
      <c r="E15" s="7" t="n">
        <f aca="false">C15/D15*100</f>
        <v>6.74802414734131</v>
      </c>
    </row>
    <row r="16" customFormat="false" ht="15" hidden="false" customHeight="true" outlineLevel="0" collapsed="false">
      <c r="A16" s="5" t="s">
        <v>49</v>
      </c>
      <c r="B16" s="5" t="n">
        <f aca="false">VALUE(LEFT(A16,4))</f>
        <v>1952</v>
      </c>
      <c r="C16" s="6" t="n">
        <v>5.703</v>
      </c>
      <c r="D16" s="6" t="n">
        <v>84.465</v>
      </c>
      <c r="E16" s="7" t="n">
        <f aca="false">C16/D16*100</f>
        <v>6.7519090747647</v>
      </c>
    </row>
    <row r="17" customFormat="false" ht="15" hidden="false" customHeight="true" outlineLevel="0" collapsed="false">
      <c r="A17" s="5" t="s">
        <v>50</v>
      </c>
      <c r="B17" s="5" t="n">
        <f aca="false">VALUE(LEFT(A17,4))</f>
        <v>1953</v>
      </c>
      <c r="C17" s="6" t="n">
        <v>5.741</v>
      </c>
      <c r="D17" s="6" t="n">
        <v>85.389</v>
      </c>
      <c r="E17" s="7" t="n">
        <f aca="false">C17/D17*100</f>
        <v>6.72334844066566</v>
      </c>
    </row>
    <row r="18" customFormat="false" ht="15" hidden="false" customHeight="true" outlineLevel="0" collapsed="false">
      <c r="A18" s="5" t="s">
        <v>51</v>
      </c>
      <c r="B18" s="5" t="n">
        <f aca="false">VALUE(LEFT(A18,4))</f>
        <v>1953</v>
      </c>
      <c r="C18" s="6" t="n">
        <v>5.841</v>
      </c>
      <c r="D18" s="6" t="n">
        <v>86.769</v>
      </c>
      <c r="E18" s="7" t="n">
        <f aca="false">C18/D18*100</f>
        <v>6.73166683953947</v>
      </c>
    </row>
    <row r="19" customFormat="false" ht="15" hidden="false" customHeight="true" outlineLevel="0" collapsed="false">
      <c r="A19" s="5" t="s">
        <v>52</v>
      </c>
      <c r="B19" s="5" t="n">
        <f aca="false">VALUE(LEFT(A19,4))</f>
        <v>1953</v>
      </c>
      <c r="C19" s="6" t="n">
        <v>5.883</v>
      </c>
      <c r="D19" s="6" t="n">
        <v>87.177</v>
      </c>
      <c r="E19" s="7" t="n">
        <f aca="false">C19/D19*100</f>
        <v>6.74833958498228</v>
      </c>
    </row>
    <row r="20" customFormat="false" ht="15" hidden="false" customHeight="true" outlineLevel="0" collapsed="false">
      <c r="A20" s="5" t="s">
        <v>53</v>
      </c>
      <c r="B20" s="5" t="n">
        <f aca="false">VALUE(LEFT(A20,4))</f>
        <v>1953</v>
      </c>
      <c r="C20" s="6" t="n">
        <v>5.981</v>
      </c>
      <c r="D20" s="6" t="n">
        <v>88.572</v>
      </c>
      <c r="E20" s="7" t="n">
        <f aca="false">C20/D20*100</f>
        <v>6.75269836968794</v>
      </c>
    </row>
    <row r="21" customFormat="false" ht="15" hidden="false" customHeight="true" outlineLevel="0" collapsed="false">
      <c r="A21" s="5" t="s">
        <v>54</v>
      </c>
      <c r="B21" s="5" t="n">
        <f aca="false">VALUE(LEFT(A21,4))</f>
        <v>1954</v>
      </c>
      <c r="C21" s="6" t="n">
        <v>6.033</v>
      </c>
      <c r="D21" s="6" t="n">
        <v>89.907</v>
      </c>
      <c r="E21" s="7" t="n">
        <f aca="false">C21/D21*100</f>
        <v>6.71026727618539</v>
      </c>
    </row>
    <row r="22" customFormat="false" ht="15" hidden="false" customHeight="true" outlineLevel="0" collapsed="false">
      <c r="A22" s="5" t="s">
        <v>55</v>
      </c>
      <c r="B22" s="5" t="n">
        <f aca="false">VALUE(LEFT(A22,4))</f>
        <v>1954</v>
      </c>
      <c r="C22" s="6" t="n">
        <v>6.191</v>
      </c>
      <c r="D22" s="6" t="n">
        <v>91.516</v>
      </c>
      <c r="E22" s="7" t="n">
        <f aca="false">C22/D22*100</f>
        <v>6.76493727872722</v>
      </c>
    </row>
    <row r="23" customFormat="false" ht="15" hidden="false" customHeight="true" outlineLevel="0" collapsed="false">
      <c r="A23" s="5" t="s">
        <v>56</v>
      </c>
      <c r="B23" s="5" t="n">
        <f aca="false">VALUE(LEFT(A23,4))</f>
        <v>1954</v>
      </c>
      <c r="C23" s="6" t="n">
        <v>6.326</v>
      </c>
      <c r="D23" s="6" t="n">
        <v>92.971</v>
      </c>
      <c r="E23" s="7" t="n">
        <f aca="false">C23/D23*100</f>
        <v>6.80427229996451</v>
      </c>
    </row>
    <row r="24" customFormat="false" ht="15" hidden="false" customHeight="true" outlineLevel="0" collapsed="false">
      <c r="A24" s="5" t="s">
        <v>57</v>
      </c>
      <c r="B24" s="5" t="n">
        <f aca="false">VALUE(LEFT(A24,4))</f>
        <v>1954</v>
      </c>
      <c r="C24" s="6" t="n">
        <v>6.373</v>
      </c>
      <c r="D24" s="6" t="n">
        <v>93.684</v>
      </c>
      <c r="E24" s="7" t="n">
        <f aca="false">C24/D24*100</f>
        <v>6.80265573630503</v>
      </c>
    </row>
    <row r="25" customFormat="false" ht="15" hidden="false" customHeight="true" outlineLevel="0" collapsed="false">
      <c r="A25" s="5" t="s">
        <v>58</v>
      </c>
      <c r="B25" s="5" t="n">
        <f aca="false">VALUE(LEFT(A25,4))</f>
        <v>1955</v>
      </c>
      <c r="C25" s="6" t="n">
        <v>6.473</v>
      </c>
      <c r="D25" s="6" t="n">
        <v>94.934</v>
      </c>
      <c r="E25" s="7" t="n">
        <f aca="false">C25/D25*100</f>
        <v>6.81842121895211</v>
      </c>
    </row>
    <row r="26" customFormat="false" ht="15" hidden="false" customHeight="true" outlineLevel="0" collapsed="false">
      <c r="A26" s="5" t="s">
        <v>59</v>
      </c>
      <c r="B26" s="5" t="n">
        <f aca="false">VALUE(LEFT(A26,4))</f>
        <v>1955</v>
      </c>
      <c r="C26" s="6" t="n">
        <v>6.632</v>
      </c>
      <c r="D26" s="6" t="n">
        <v>96.319</v>
      </c>
      <c r="E26" s="7" t="n">
        <f aca="false">C26/D26*100</f>
        <v>6.88545354499112</v>
      </c>
    </row>
    <row r="27" customFormat="false" ht="15" hidden="false" customHeight="true" outlineLevel="0" collapsed="false">
      <c r="A27" s="5" t="s">
        <v>60</v>
      </c>
      <c r="B27" s="5" t="n">
        <f aca="false">VALUE(LEFT(A27,4))</f>
        <v>1955</v>
      </c>
      <c r="C27" s="6" t="n">
        <v>6.768</v>
      </c>
      <c r="D27" s="6" t="n">
        <v>97.752</v>
      </c>
      <c r="E27" s="7" t="n">
        <f aca="false">C27/D27*100</f>
        <v>6.92364350601522</v>
      </c>
    </row>
    <row r="28" customFormat="false" ht="15" hidden="false" customHeight="true" outlineLevel="0" collapsed="false">
      <c r="A28" s="5" t="s">
        <v>61</v>
      </c>
      <c r="B28" s="5" t="n">
        <f aca="false">VALUE(LEFT(A28,4))</f>
        <v>1955</v>
      </c>
      <c r="C28" s="6" t="n">
        <v>6.929</v>
      </c>
      <c r="D28" s="6" t="n">
        <v>98.833</v>
      </c>
      <c r="E28" s="7" t="n">
        <f aca="false">C28/D28*100</f>
        <v>7.01081622534983</v>
      </c>
    </row>
    <row r="29" customFormat="false" ht="15" hidden="false" customHeight="true" outlineLevel="0" collapsed="false">
      <c r="A29" s="5" t="s">
        <v>62</v>
      </c>
      <c r="B29" s="5" t="n">
        <f aca="false">VALUE(LEFT(A29,4))</f>
        <v>1956</v>
      </c>
      <c r="C29" s="6" t="n">
        <v>7.052</v>
      </c>
      <c r="D29" s="6" t="n">
        <v>99.586</v>
      </c>
      <c r="E29" s="7" t="n">
        <f aca="false">C29/D29*100</f>
        <v>7.08131665093487</v>
      </c>
    </row>
    <row r="30" customFormat="false" ht="15" hidden="false" customHeight="true" outlineLevel="0" collapsed="false">
      <c r="A30" s="5" t="s">
        <v>63</v>
      </c>
      <c r="B30" s="5" t="n">
        <f aca="false">VALUE(LEFT(A30,4))</f>
        <v>1956</v>
      </c>
      <c r="C30" s="6" t="n">
        <v>7.301</v>
      </c>
      <c r="D30" s="6" t="n">
        <v>101.299</v>
      </c>
      <c r="E30" s="7" t="n">
        <f aca="false">C30/D30*100</f>
        <v>7.20737618337792</v>
      </c>
    </row>
    <row r="31" customFormat="false" ht="15" hidden="false" customHeight="true" outlineLevel="0" collapsed="false">
      <c r="A31" s="5" t="s">
        <v>64</v>
      </c>
      <c r="B31" s="5" t="n">
        <f aca="false">VALUE(LEFT(A31,4))</f>
        <v>1956</v>
      </c>
      <c r="C31" s="6" t="n">
        <v>7.466</v>
      </c>
      <c r="D31" s="6" t="n">
        <v>102.551</v>
      </c>
      <c r="E31" s="7" t="n">
        <f aca="false">C31/D31*100</f>
        <v>7.28028005577713</v>
      </c>
    </row>
    <row r="32" customFormat="false" ht="15" hidden="false" customHeight="true" outlineLevel="0" collapsed="false">
      <c r="A32" s="5" t="s">
        <v>65</v>
      </c>
      <c r="B32" s="5" t="n">
        <f aca="false">VALUE(LEFT(A32,4))</f>
        <v>1956</v>
      </c>
      <c r="C32" s="6" t="n">
        <v>7.726</v>
      </c>
      <c r="D32" s="6" t="n">
        <v>104.097</v>
      </c>
      <c r="E32" s="7" t="n">
        <f aca="false">C32/D32*100</f>
        <v>7.42192378262582</v>
      </c>
    </row>
    <row r="33" customFormat="false" ht="15" hidden="false" customHeight="true" outlineLevel="0" collapsed="false">
      <c r="A33" s="5" t="s">
        <v>66</v>
      </c>
      <c r="B33" s="5" t="n">
        <f aca="false">VALUE(LEFT(A33,4))</f>
        <v>1957</v>
      </c>
      <c r="C33" s="6" t="n">
        <v>7.962</v>
      </c>
      <c r="D33" s="6" t="n">
        <v>106.077</v>
      </c>
      <c r="E33" s="7" t="n">
        <f aca="false">C33/D33*100</f>
        <v>7.50586837863062</v>
      </c>
    </row>
    <row r="34" customFormat="false" ht="15" hidden="false" customHeight="true" outlineLevel="0" collapsed="false">
      <c r="A34" s="5" t="s">
        <v>67</v>
      </c>
      <c r="B34" s="5" t="n">
        <f aca="false">VALUE(LEFT(A34,4))</f>
        <v>1957</v>
      </c>
      <c r="C34" s="6" t="n">
        <v>8.118</v>
      </c>
      <c r="D34" s="6" t="n">
        <v>106.809</v>
      </c>
      <c r="E34" s="7" t="n">
        <f aca="false">C34/D34*100</f>
        <v>7.60048310535629</v>
      </c>
    </row>
    <row r="35" customFormat="false" ht="15" hidden="false" customHeight="true" outlineLevel="0" collapsed="false">
      <c r="A35" s="5" t="s">
        <v>68</v>
      </c>
      <c r="B35" s="5" t="n">
        <f aca="false">VALUE(LEFT(A35,4))</f>
        <v>1957</v>
      </c>
      <c r="C35" s="6" t="n">
        <v>8.487</v>
      </c>
      <c r="D35" s="6" t="n">
        <v>108.591</v>
      </c>
      <c r="E35" s="7" t="n">
        <f aca="false">C35/D35*100</f>
        <v>7.81556482581429</v>
      </c>
    </row>
    <row r="36" customFormat="false" ht="15" hidden="false" customHeight="true" outlineLevel="0" collapsed="false">
      <c r="A36" s="5" t="s">
        <v>69</v>
      </c>
      <c r="B36" s="5" t="n">
        <f aca="false">VALUE(LEFT(A36,4))</f>
        <v>1957</v>
      </c>
      <c r="C36" s="6" t="n">
        <v>8.825</v>
      </c>
      <c r="D36" s="6" t="n">
        <v>108.903</v>
      </c>
      <c r="E36" s="7" t="n">
        <f aca="false">C36/D36*100</f>
        <v>8.10354168388382</v>
      </c>
    </row>
    <row r="37" customFormat="false" ht="15" hidden="false" customHeight="true" outlineLevel="0" collapsed="false">
      <c r="A37" s="5" t="s">
        <v>70</v>
      </c>
      <c r="B37" s="5" t="n">
        <f aca="false">VALUE(LEFT(A37,4))</f>
        <v>1958</v>
      </c>
      <c r="C37" s="6" t="n">
        <v>9.301</v>
      </c>
      <c r="D37" s="6" t="n">
        <v>110.305</v>
      </c>
      <c r="E37" s="7" t="n">
        <f aca="false">C37/D37*100</f>
        <v>8.43207470196274</v>
      </c>
    </row>
    <row r="38" customFormat="false" ht="15" hidden="false" customHeight="true" outlineLevel="0" collapsed="false">
      <c r="A38" s="5" t="s">
        <v>71</v>
      </c>
      <c r="B38" s="5" t="n">
        <f aca="false">VALUE(LEFT(A38,4))</f>
        <v>1958</v>
      </c>
      <c r="C38" s="6" t="n">
        <v>9.583</v>
      </c>
      <c r="D38" s="6" t="n">
        <v>110.734</v>
      </c>
      <c r="E38" s="7" t="n">
        <f aca="false">C38/D38*100</f>
        <v>8.65407192009681</v>
      </c>
    </row>
    <row r="39" customFormat="false" ht="15" hidden="false" customHeight="true" outlineLevel="0" collapsed="false">
      <c r="A39" s="5" t="s">
        <v>72</v>
      </c>
      <c r="B39" s="5" t="n">
        <f aca="false">VALUE(LEFT(A39,4))</f>
        <v>1958</v>
      </c>
      <c r="C39" s="6" t="n">
        <v>9.747</v>
      </c>
      <c r="D39" s="6" t="n">
        <v>110.525</v>
      </c>
      <c r="E39" s="7" t="n">
        <f aca="false">C39/D39*100</f>
        <v>8.818819271658</v>
      </c>
    </row>
    <row r="40" customFormat="false" ht="15" hidden="false" customHeight="true" outlineLevel="0" collapsed="false">
      <c r="A40" s="5" t="s">
        <v>73</v>
      </c>
      <c r="B40" s="5" t="n">
        <f aca="false">VALUE(LEFT(A40,4))</f>
        <v>1958</v>
      </c>
      <c r="C40" s="6" t="n">
        <v>9.91</v>
      </c>
      <c r="D40" s="6" t="n">
        <v>110.899</v>
      </c>
      <c r="E40" s="7" t="n">
        <f aca="false">C40/D40*100</f>
        <v>8.9360589365098</v>
      </c>
    </row>
    <row r="41" customFormat="false" ht="15" hidden="false" customHeight="true" outlineLevel="0" collapsed="false">
      <c r="A41" s="5" t="s">
        <v>74</v>
      </c>
      <c r="B41" s="5" t="n">
        <f aca="false">VALUE(LEFT(A41,4))</f>
        <v>1959</v>
      </c>
      <c r="C41" s="6" t="n">
        <v>10.086</v>
      </c>
      <c r="D41" s="6" t="n">
        <v>111.121</v>
      </c>
      <c r="E41" s="7" t="n">
        <f aca="false">C41/D41*100</f>
        <v>9.07659218329569</v>
      </c>
    </row>
    <row r="42" customFormat="false" ht="15" hidden="false" customHeight="true" outlineLevel="0" collapsed="false">
      <c r="A42" s="5" t="s">
        <v>75</v>
      </c>
      <c r="B42" s="5" t="n">
        <f aca="false">VALUE(LEFT(A42,4))</f>
        <v>1959</v>
      </c>
      <c r="C42" s="6" t="n">
        <v>10.412</v>
      </c>
      <c r="D42" s="6" t="n">
        <v>112.552</v>
      </c>
      <c r="E42" s="7" t="n">
        <f aca="false">C42/D42*100</f>
        <v>9.25083516952164</v>
      </c>
    </row>
    <row r="43" customFormat="false" ht="15" hidden="false" customHeight="true" outlineLevel="0" collapsed="false">
      <c r="A43" s="5" t="s">
        <v>76</v>
      </c>
      <c r="B43" s="5" t="n">
        <f aca="false">VALUE(LEFT(A43,4))</f>
        <v>1959</v>
      </c>
      <c r="C43" s="6" t="n">
        <v>10.616</v>
      </c>
      <c r="D43" s="6" t="n">
        <v>113.801</v>
      </c>
      <c r="E43" s="7" t="n">
        <f aca="false">C43/D43*100</f>
        <v>9.32856477535347</v>
      </c>
    </row>
    <row r="44" customFormat="false" ht="15" hidden="false" customHeight="true" outlineLevel="0" collapsed="false">
      <c r="A44" s="5" t="s">
        <v>77</v>
      </c>
      <c r="B44" s="5" t="n">
        <f aca="false">VALUE(LEFT(A44,4))</f>
        <v>1959</v>
      </c>
      <c r="C44" s="6" t="n">
        <v>10.99</v>
      </c>
      <c r="D44" s="6" t="n">
        <v>116.655</v>
      </c>
      <c r="E44" s="7" t="n">
        <f aca="false">C44/D44*100</f>
        <v>9.42094209420942</v>
      </c>
    </row>
    <row r="45" customFormat="false" ht="15" hidden="false" customHeight="true" outlineLevel="0" collapsed="false">
      <c r="A45" s="5" t="s">
        <v>78</v>
      </c>
      <c r="B45" s="5" t="n">
        <f aca="false">VALUE(LEFT(A45,4))</f>
        <v>1960</v>
      </c>
      <c r="C45" s="6" t="n">
        <v>11.242</v>
      </c>
      <c r="D45" s="6" t="n">
        <v>119.079</v>
      </c>
      <c r="E45" s="7" t="n">
        <f aca="false">C45/D45*100</f>
        <v>9.44079140738501</v>
      </c>
    </row>
    <row r="46" customFormat="false" ht="15" hidden="false" customHeight="true" outlineLevel="0" collapsed="false">
      <c r="A46" s="5" t="s">
        <v>79</v>
      </c>
      <c r="B46" s="5" t="n">
        <f aca="false">VALUE(LEFT(A46,4))</f>
        <v>1960</v>
      </c>
      <c r="C46" s="6" t="n">
        <v>11.567</v>
      </c>
      <c r="D46" s="6" t="n">
        <v>122.06</v>
      </c>
      <c r="E46" s="7" t="n">
        <f aca="false">C46/D46*100</f>
        <v>9.47648697361953</v>
      </c>
    </row>
    <row r="47" customFormat="false" ht="15" hidden="false" customHeight="true" outlineLevel="0" collapsed="false">
      <c r="A47" s="5" t="s">
        <v>80</v>
      </c>
      <c r="B47" s="5" t="n">
        <f aca="false">VALUE(LEFT(A47,4))</f>
        <v>1960</v>
      </c>
      <c r="C47" s="6" t="n">
        <v>11.797</v>
      </c>
      <c r="D47" s="6" t="n">
        <v>124.096</v>
      </c>
      <c r="E47" s="7" t="n">
        <f aca="false">C47/D47*100</f>
        <v>9.50634992264054</v>
      </c>
    </row>
    <row r="48" customFormat="false" ht="15" hidden="false" customHeight="true" outlineLevel="0" collapsed="false">
      <c r="A48" s="5" t="s">
        <v>81</v>
      </c>
      <c r="B48" s="5" t="n">
        <f aca="false">VALUE(LEFT(A48,4))</f>
        <v>1960</v>
      </c>
      <c r="C48" s="6" t="n">
        <v>12.024</v>
      </c>
      <c r="D48" s="6" t="n">
        <v>125.39</v>
      </c>
      <c r="E48" s="7" t="n">
        <f aca="false">C48/D48*100</f>
        <v>9.58928144190127</v>
      </c>
    </row>
    <row r="49" customFormat="false" ht="15" hidden="false" customHeight="true" outlineLevel="0" collapsed="false">
      <c r="A49" s="5" t="s">
        <v>82</v>
      </c>
      <c r="B49" s="5" t="n">
        <f aca="false">VALUE(LEFT(A49,4))</f>
        <v>1961</v>
      </c>
      <c r="C49" s="6" t="n">
        <v>12.308</v>
      </c>
      <c r="D49" s="6" t="n">
        <v>127.126</v>
      </c>
      <c r="E49" s="7" t="n">
        <f aca="false">C49/D49*100</f>
        <v>9.68173308371222</v>
      </c>
    </row>
    <row r="50" customFormat="false" ht="15" hidden="false" customHeight="true" outlineLevel="0" collapsed="false">
      <c r="A50" s="5" t="s">
        <v>83</v>
      </c>
      <c r="B50" s="5" t="n">
        <f aca="false">VALUE(LEFT(A50,4))</f>
        <v>1961</v>
      </c>
      <c r="C50" s="6" t="n">
        <v>12.425</v>
      </c>
      <c r="D50" s="6" t="n">
        <v>127.915</v>
      </c>
      <c r="E50" s="7" t="n">
        <f aca="false">C50/D50*100</f>
        <v>9.7134816088809</v>
      </c>
    </row>
    <row r="51" customFormat="false" ht="15" hidden="false" customHeight="true" outlineLevel="0" collapsed="false">
      <c r="A51" s="5" t="s">
        <v>84</v>
      </c>
      <c r="B51" s="5" t="n">
        <f aca="false">VALUE(LEFT(A51,4))</f>
        <v>1961</v>
      </c>
      <c r="C51" s="6" t="n">
        <v>12.737</v>
      </c>
      <c r="D51" s="6" t="n">
        <v>129.13</v>
      </c>
      <c r="E51" s="7" t="n">
        <f aca="false">C51/D51*100</f>
        <v>9.86370324479207</v>
      </c>
    </row>
    <row r="52" customFormat="false" ht="15" hidden="false" customHeight="true" outlineLevel="0" collapsed="false">
      <c r="A52" s="5" t="s">
        <v>85</v>
      </c>
      <c r="B52" s="5" t="n">
        <f aca="false">VALUE(LEFT(A52,4))</f>
        <v>1961</v>
      </c>
      <c r="C52" s="6" t="n">
        <v>13.074</v>
      </c>
      <c r="D52" s="6" t="n">
        <v>131.411</v>
      </c>
      <c r="E52" s="7" t="n">
        <f aca="false">C52/D52*100</f>
        <v>9.94893882551689</v>
      </c>
    </row>
    <row r="53" customFormat="false" ht="15" hidden="false" customHeight="true" outlineLevel="0" collapsed="false">
      <c r="A53" s="5" t="s">
        <v>86</v>
      </c>
      <c r="B53" s="5" t="n">
        <f aca="false">VALUE(LEFT(A53,4))</f>
        <v>1962</v>
      </c>
      <c r="C53" s="6" t="n">
        <v>13.618</v>
      </c>
      <c r="D53" s="6" t="n">
        <v>134.129</v>
      </c>
      <c r="E53" s="7" t="n">
        <f aca="false">C53/D53*100</f>
        <v>10.152912494688</v>
      </c>
    </row>
    <row r="54" customFormat="false" ht="15" hidden="false" customHeight="true" outlineLevel="0" collapsed="false">
      <c r="A54" s="5" t="s">
        <v>87</v>
      </c>
      <c r="B54" s="5" t="n">
        <f aca="false">VALUE(LEFT(A54,4))</f>
        <v>1962</v>
      </c>
      <c r="C54" s="6" t="n">
        <v>13.975</v>
      </c>
      <c r="D54" s="6" t="n">
        <v>136.18</v>
      </c>
      <c r="E54" s="7" t="n">
        <f aca="false">C54/D54*100</f>
        <v>10.2621530327508</v>
      </c>
    </row>
    <row r="55" customFormat="false" ht="15" hidden="false" customHeight="true" outlineLevel="0" collapsed="false">
      <c r="A55" s="5" t="s">
        <v>88</v>
      </c>
      <c r="B55" s="5" t="n">
        <f aca="false">VALUE(LEFT(A55,4))</f>
        <v>1962</v>
      </c>
      <c r="C55" s="6" t="n">
        <v>14.32</v>
      </c>
      <c r="D55" s="6" t="n">
        <v>138.818</v>
      </c>
      <c r="E55" s="7" t="n">
        <f aca="false">C55/D55*100</f>
        <v>10.3156651154749</v>
      </c>
    </row>
    <row r="56" customFormat="false" ht="15" hidden="false" customHeight="true" outlineLevel="0" collapsed="false">
      <c r="A56" s="5" t="s">
        <v>89</v>
      </c>
      <c r="B56" s="5" t="n">
        <f aca="false">VALUE(LEFT(A56,4))</f>
        <v>1962</v>
      </c>
      <c r="C56" s="6" t="n">
        <v>14.68</v>
      </c>
      <c r="D56" s="6" t="n">
        <v>140.31</v>
      </c>
      <c r="E56" s="7" t="n">
        <f aca="false">C56/D56*100</f>
        <v>10.4625472168769</v>
      </c>
    </row>
    <row r="57" customFormat="false" ht="15" hidden="false" customHeight="true" outlineLevel="0" collapsed="false">
      <c r="A57" s="5" t="s">
        <v>90</v>
      </c>
      <c r="B57" s="5" t="n">
        <f aca="false">VALUE(LEFT(A57,4))</f>
        <v>1963</v>
      </c>
      <c r="C57" s="6" t="n">
        <v>14.692</v>
      </c>
      <c r="D57" s="6" t="n">
        <v>138.989</v>
      </c>
      <c r="E57" s="7" t="n">
        <f aca="false">C57/D57*100</f>
        <v>10.5706206966019</v>
      </c>
    </row>
    <row r="58" customFormat="false" ht="15" hidden="false" customHeight="true" outlineLevel="0" collapsed="false">
      <c r="A58" s="5" t="s">
        <v>91</v>
      </c>
      <c r="B58" s="5" t="n">
        <f aca="false">VALUE(LEFT(A58,4))</f>
        <v>1963</v>
      </c>
      <c r="C58" s="6" t="n">
        <v>15.742</v>
      </c>
      <c r="D58" s="6" t="n">
        <v>145.212</v>
      </c>
      <c r="E58" s="7" t="n">
        <f aca="false">C58/D58*100</f>
        <v>10.8407018703688</v>
      </c>
    </row>
    <row r="59" customFormat="false" ht="15" hidden="false" customHeight="true" outlineLevel="0" collapsed="false">
      <c r="A59" s="5" t="s">
        <v>92</v>
      </c>
      <c r="B59" s="5" t="n">
        <f aca="false">VALUE(LEFT(A59,4))</f>
        <v>1963</v>
      </c>
      <c r="C59" s="6" t="n">
        <v>16.424</v>
      </c>
      <c r="D59" s="6" t="n">
        <v>150.161</v>
      </c>
      <c r="E59" s="7" t="n">
        <f aca="false">C59/D59*100</f>
        <v>10.9375936494829</v>
      </c>
    </row>
    <row r="60" customFormat="false" ht="15" hidden="false" customHeight="true" outlineLevel="0" collapsed="false">
      <c r="A60" s="5" t="s">
        <v>93</v>
      </c>
      <c r="B60" s="5" t="n">
        <f aca="false">VALUE(LEFT(A60,4))</f>
        <v>1963</v>
      </c>
      <c r="C60" s="6" t="n">
        <v>16.537</v>
      </c>
      <c r="D60" s="6" t="n">
        <v>149.723</v>
      </c>
      <c r="E60" s="7" t="n">
        <f aca="false">C60/D60*100</f>
        <v>11.0450632167402</v>
      </c>
    </row>
    <row r="61" customFormat="false" ht="15" hidden="false" customHeight="true" outlineLevel="0" collapsed="false">
      <c r="A61" s="5" t="s">
        <v>94</v>
      </c>
      <c r="B61" s="5" t="n">
        <f aca="false">VALUE(LEFT(A61,4))</f>
        <v>1964</v>
      </c>
      <c r="C61" s="6" t="n">
        <v>17.066</v>
      </c>
      <c r="D61" s="6" t="n">
        <v>152.891</v>
      </c>
      <c r="E61" s="7" t="n">
        <f aca="false">C61/D61*100</f>
        <v>11.1622005219405</v>
      </c>
    </row>
    <row r="62" customFormat="false" ht="15" hidden="false" customHeight="true" outlineLevel="0" collapsed="false">
      <c r="A62" s="5" t="s">
        <v>95</v>
      </c>
      <c r="B62" s="5" t="n">
        <f aca="false">VALUE(LEFT(A62,4))</f>
        <v>1964</v>
      </c>
      <c r="C62" s="6" t="n">
        <v>17.316</v>
      </c>
      <c r="D62" s="6" t="n">
        <v>154.837</v>
      </c>
      <c r="E62" s="7" t="n">
        <f aca="false">C62/D62*100</f>
        <v>11.1833734830822</v>
      </c>
    </row>
    <row r="63" customFormat="false" ht="15" hidden="false" customHeight="true" outlineLevel="0" collapsed="false">
      <c r="A63" s="5" t="s">
        <v>96</v>
      </c>
      <c r="B63" s="5" t="n">
        <f aca="false">VALUE(LEFT(A63,4))</f>
        <v>1964</v>
      </c>
      <c r="C63" s="6" t="n">
        <v>17.768</v>
      </c>
      <c r="D63" s="6" t="n">
        <v>156.285</v>
      </c>
      <c r="E63" s="7" t="n">
        <f aca="false">C63/D63*100</f>
        <v>11.3689733499696</v>
      </c>
    </row>
    <row r="64" customFormat="false" ht="15" hidden="false" customHeight="true" outlineLevel="0" collapsed="false">
      <c r="A64" s="5" t="s">
        <v>97</v>
      </c>
      <c r="B64" s="5" t="n">
        <f aca="false">VALUE(LEFT(A64,4))</f>
        <v>1964</v>
      </c>
      <c r="C64" s="6" t="n">
        <v>18.166</v>
      </c>
      <c r="D64" s="6" t="n">
        <v>158.351</v>
      </c>
      <c r="E64" s="7" t="n">
        <f aca="false">C64/D64*100</f>
        <v>11.4719831260933</v>
      </c>
    </row>
    <row r="65" customFormat="false" ht="15" hidden="false" customHeight="true" outlineLevel="0" collapsed="false">
      <c r="A65" s="5" t="s">
        <v>98</v>
      </c>
      <c r="B65" s="5" t="n">
        <f aca="false">VALUE(LEFT(A65,4))</f>
        <v>1965</v>
      </c>
      <c r="C65" s="6" t="n">
        <v>18.407</v>
      </c>
      <c r="D65" s="6" t="n">
        <v>159.094</v>
      </c>
      <c r="E65" s="7" t="n">
        <f aca="false">C65/D65*100</f>
        <v>11.5698894992897</v>
      </c>
    </row>
    <row r="66" customFormat="false" ht="15" hidden="false" customHeight="true" outlineLevel="0" collapsed="false">
      <c r="A66" s="5" t="s">
        <v>99</v>
      </c>
      <c r="B66" s="5" t="n">
        <f aca="false">VALUE(LEFT(A66,4))</f>
        <v>1965</v>
      </c>
      <c r="C66" s="6" t="n">
        <v>18.82</v>
      </c>
      <c r="D66" s="6" t="n">
        <v>162.049</v>
      </c>
      <c r="E66" s="7" t="n">
        <f aca="false">C66/D66*100</f>
        <v>11.6137711432962</v>
      </c>
    </row>
    <row r="67" customFormat="false" ht="15" hidden="false" customHeight="true" outlineLevel="0" collapsed="false">
      <c r="A67" s="5" t="s">
        <v>100</v>
      </c>
      <c r="B67" s="5" t="n">
        <f aca="false">VALUE(LEFT(A67,4))</f>
        <v>1965</v>
      </c>
      <c r="C67" s="6" t="n">
        <v>19.191</v>
      </c>
      <c r="D67" s="6" t="n">
        <v>164.369</v>
      </c>
      <c r="E67" s="7" t="n">
        <f aca="false">C67/D67*100</f>
        <v>11.6755592599578</v>
      </c>
    </row>
    <row r="68" customFormat="false" ht="15" hidden="false" customHeight="true" outlineLevel="0" collapsed="false">
      <c r="A68" s="5" t="s">
        <v>101</v>
      </c>
      <c r="B68" s="5" t="n">
        <f aca="false">VALUE(LEFT(A68,4))</f>
        <v>1965</v>
      </c>
      <c r="C68" s="6" t="n">
        <v>19.544</v>
      </c>
      <c r="D68" s="6" t="n">
        <v>166.869</v>
      </c>
      <c r="E68" s="7" t="n">
        <f aca="false">C68/D68*100</f>
        <v>11.7121814117661</v>
      </c>
    </row>
    <row r="69" customFormat="false" ht="15" hidden="false" customHeight="true" outlineLevel="0" collapsed="false">
      <c r="A69" s="5" t="s">
        <v>102</v>
      </c>
      <c r="B69" s="5" t="n">
        <f aca="false">VALUE(LEFT(A69,4))</f>
        <v>1966</v>
      </c>
      <c r="C69" s="6" t="n">
        <v>19.891</v>
      </c>
      <c r="D69" s="6" t="n">
        <v>168.212</v>
      </c>
      <c r="E69" s="7" t="n">
        <f aca="false">C69/D69*100</f>
        <v>11.8249589803343</v>
      </c>
    </row>
    <row r="70" customFormat="false" ht="15" hidden="false" customHeight="true" outlineLevel="0" collapsed="false">
      <c r="A70" s="5" t="s">
        <v>103</v>
      </c>
      <c r="B70" s="5" t="n">
        <f aca="false">VALUE(LEFT(A70,4))</f>
        <v>1966</v>
      </c>
      <c r="C70" s="6" t="n">
        <v>20.43</v>
      </c>
      <c r="D70" s="6" t="n">
        <v>170.961</v>
      </c>
      <c r="E70" s="7" t="n">
        <f aca="false">C70/D70*100</f>
        <v>11.9500938810606</v>
      </c>
    </row>
    <row r="71" customFormat="false" ht="15" hidden="false" customHeight="true" outlineLevel="0" collapsed="false">
      <c r="A71" s="5" t="s">
        <v>104</v>
      </c>
      <c r="B71" s="5" t="n">
        <f aca="false">VALUE(LEFT(A71,4))</f>
        <v>1966</v>
      </c>
      <c r="C71" s="6" t="n">
        <v>20.803</v>
      </c>
      <c r="D71" s="6" t="n">
        <v>172.916</v>
      </c>
      <c r="E71" s="7" t="n">
        <f aca="false">C71/D71*100</f>
        <v>12.0306969858197</v>
      </c>
    </row>
    <row r="72" customFormat="false" ht="15" hidden="false" customHeight="true" outlineLevel="0" collapsed="false">
      <c r="A72" s="5" t="s">
        <v>105</v>
      </c>
      <c r="B72" s="5" t="n">
        <f aca="false">VALUE(LEFT(A72,4))</f>
        <v>1966</v>
      </c>
      <c r="C72" s="6" t="n">
        <v>21.145</v>
      </c>
      <c r="D72" s="6" t="n">
        <v>173.926</v>
      </c>
      <c r="E72" s="7" t="n">
        <f aca="false">C72/D72*100</f>
        <v>12.1574692685395</v>
      </c>
    </row>
    <row r="73" customFormat="false" ht="15" hidden="false" customHeight="true" outlineLevel="0" collapsed="false">
      <c r="A73" s="5" t="s">
        <v>106</v>
      </c>
      <c r="B73" s="5" t="n">
        <f aca="false">VALUE(LEFT(A73,4))</f>
        <v>1967</v>
      </c>
      <c r="C73" s="6" t="n">
        <v>21.676</v>
      </c>
      <c r="D73" s="6" t="n">
        <v>176.776</v>
      </c>
      <c r="E73" s="7" t="n">
        <f aca="false">C73/D73*100</f>
        <v>12.2618454993891</v>
      </c>
    </row>
    <row r="74" customFormat="false" ht="15" hidden="false" customHeight="true" outlineLevel="0" collapsed="false">
      <c r="A74" s="5" t="s">
        <v>107</v>
      </c>
      <c r="B74" s="5" t="n">
        <f aca="false">VALUE(LEFT(A74,4))</f>
        <v>1967</v>
      </c>
      <c r="C74" s="6" t="n">
        <v>22.01</v>
      </c>
      <c r="D74" s="6" t="n">
        <v>178.893</v>
      </c>
      <c r="E74" s="7" t="n">
        <f aca="false">C74/D74*100</f>
        <v>12.3034439581202</v>
      </c>
    </row>
    <row r="75" customFormat="false" ht="15" hidden="false" customHeight="true" outlineLevel="0" collapsed="false">
      <c r="A75" s="5" t="s">
        <v>108</v>
      </c>
      <c r="B75" s="5" t="n">
        <f aca="false">VALUE(LEFT(A75,4))</f>
        <v>1967</v>
      </c>
      <c r="C75" s="6" t="n">
        <v>22.5</v>
      </c>
      <c r="D75" s="6" t="n">
        <v>180.712</v>
      </c>
      <c r="E75" s="7" t="n">
        <f aca="false">C75/D75*100</f>
        <v>12.450750365222</v>
      </c>
    </row>
    <row r="76" customFormat="false" ht="15" hidden="false" customHeight="true" outlineLevel="0" collapsed="false">
      <c r="A76" s="5" t="s">
        <v>109</v>
      </c>
      <c r="B76" s="5" t="n">
        <f aca="false">VALUE(LEFT(A76,4))</f>
        <v>1967</v>
      </c>
      <c r="C76" s="6" t="n">
        <v>22.693</v>
      </c>
      <c r="D76" s="6" t="n">
        <v>182.596</v>
      </c>
      <c r="E76" s="7" t="n">
        <f aca="false">C76/D76*100</f>
        <v>12.427983088348</v>
      </c>
    </row>
    <row r="77" customFormat="false" ht="15" hidden="false" customHeight="true" outlineLevel="0" collapsed="false">
      <c r="A77" s="5" t="s">
        <v>110</v>
      </c>
      <c r="B77" s="5" t="n">
        <f aca="false">VALUE(LEFT(A77,4))</f>
        <v>1968</v>
      </c>
      <c r="C77" s="6" t="n">
        <v>23.461</v>
      </c>
      <c r="D77" s="6" t="n">
        <v>187.714</v>
      </c>
      <c r="E77" s="7" t="n">
        <f aca="false">C77/D77*100</f>
        <v>12.4982686427224</v>
      </c>
    </row>
    <row r="78" customFormat="false" ht="15" hidden="false" customHeight="true" outlineLevel="0" collapsed="false">
      <c r="A78" s="5" t="s">
        <v>111</v>
      </c>
      <c r="B78" s="5" t="n">
        <f aca="false">VALUE(LEFT(A78,4))</f>
        <v>1968</v>
      </c>
      <c r="C78" s="6" t="n">
        <v>22.584</v>
      </c>
      <c r="D78" s="6" t="n">
        <v>177.721</v>
      </c>
      <c r="E78" s="7" t="n">
        <f aca="false">C78/D78*100</f>
        <v>12.7075584764884</v>
      </c>
    </row>
    <row r="79" customFormat="false" ht="15" hidden="false" customHeight="true" outlineLevel="0" collapsed="false">
      <c r="A79" s="5" t="s">
        <v>112</v>
      </c>
      <c r="B79" s="5" t="n">
        <f aca="false">VALUE(LEFT(A79,4))</f>
        <v>1968</v>
      </c>
      <c r="C79" s="6" t="n">
        <v>24.99</v>
      </c>
      <c r="D79" s="6" t="n">
        <v>192.059</v>
      </c>
      <c r="E79" s="7" t="n">
        <f aca="false">C79/D79*100</f>
        <v>13.0116266355651</v>
      </c>
    </row>
    <row r="80" customFormat="false" ht="15" hidden="false" customHeight="true" outlineLevel="0" collapsed="false">
      <c r="A80" s="5" t="s">
        <v>113</v>
      </c>
      <c r="B80" s="5" t="n">
        <f aca="false">VALUE(LEFT(A80,4))</f>
        <v>1968</v>
      </c>
      <c r="C80" s="6" t="n">
        <v>25.838</v>
      </c>
      <c r="D80" s="6" t="n">
        <v>194.165</v>
      </c>
      <c r="E80" s="7" t="n">
        <f aca="false">C80/D80*100</f>
        <v>13.3072386887441</v>
      </c>
    </row>
    <row r="81" customFormat="false" ht="15" hidden="false" customHeight="true" outlineLevel="0" collapsed="false">
      <c r="A81" s="5" t="s">
        <v>114</v>
      </c>
      <c r="B81" s="5" t="n">
        <f aca="false">VALUE(LEFT(A81,4))</f>
        <v>1969</v>
      </c>
      <c r="C81" s="6" t="n">
        <v>26.835</v>
      </c>
      <c r="D81" s="6" t="n">
        <v>195.956</v>
      </c>
      <c r="E81" s="7" t="n">
        <f aca="false">C81/D81*100</f>
        <v>13.6944007838494</v>
      </c>
    </row>
    <row r="82" customFormat="false" ht="15" hidden="false" customHeight="true" outlineLevel="0" collapsed="false">
      <c r="A82" s="5" t="s">
        <v>115</v>
      </c>
      <c r="B82" s="5" t="n">
        <f aca="false">VALUE(LEFT(A82,4))</f>
        <v>1969</v>
      </c>
      <c r="C82" s="6" t="n">
        <v>27.507</v>
      </c>
      <c r="D82" s="6" t="n">
        <v>200.05</v>
      </c>
      <c r="E82" s="7" t="n">
        <f aca="false">C82/D82*100</f>
        <v>13.7500624843789</v>
      </c>
    </row>
    <row r="83" customFormat="false" ht="15" hidden="false" customHeight="true" outlineLevel="0" collapsed="false">
      <c r="A83" s="5" t="s">
        <v>116</v>
      </c>
      <c r="B83" s="5" t="n">
        <f aca="false">VALUE(LEFT(A83,4))</f>
        <v>1969</v>
      </c>
      <c r="C83" s="6" t="n">
        <v>28.168</v>
      </c>
      <c r="D83" s="6" t="n">
        <v>202.905</v>
      </c>
      <c r="E83" s="7" t="n">
        <f aca="false">C83/D83*100</f>
        <v>13.8823587393115</v>
      </c>
    </row>
    <row r="84" customFormat="false" ht="15" hidden="false" customHeight="true" outlineLevel="0" collapsed="false">
      <c r="A84" s="5" t="s">
        <v>117</v>
      </c>
      <c r="B84" s="5" t="n">
        <f aca="false">VALUE(LEFT(A84,4))</f>
        <v>1969</v>
      </c>
      <c r="C84" s="6" t="n">
        <v>28.873</v>
      </c>
      <c r="D84" s="6" t="n">
        <v>206.06</v>
      </c>
      <c r="E84" s="7" t="n">
        <f aca="false">C84/D84*100</f>
        <v>14.0119382704067</v>
      </c>
    </row>
    <row r="85" customFormat="false" ht="15" hidden="false" customHeight="true" outlineLevel="0" collapsed="false">
      <c r="A85" s="5" t="s">
        <v>118</v>
      </c>
      <c r="B85" s="5" t="n">
        <f aca="false">VALUE(LEFT(A85,4))</f>
        <v>1970</v>
      </c>
      <c r="C85" s="6" t="n">
        <v>29.896</v>
      </c>
      <c r="D85" s="6" t="n">
        <v>209.112</v>
      </c>
      <c r="E85" s="7" t="n">
        <f aca="false">C85/D85*100</f>
        <v>14.2966448601706</v>
      </c>
    </row>
    <row r="86" customFormat="false" ht="15" hidden="false" customHeight="true" outlineLevel="0" collapsed="false">
      <c r="A86" s="5" t="s">
        <v>119</v>
      </c>
      <c r="B86" s="5" t="n">
        <f aca="false">VALUE(LEFT(A86,4))</f>
        <v>1970</v>
      </c>
      <c r="C86" s="6" t="n">
        <v>30.804</v>
      </c>
      <c r="D86" s="6" t="n">
        <v>212.852</v>
      </c>
      <c r="E86" s="7" t="n">
        <f aca="false">C86/D86*100</f>
        <v>14.4720275120741</v>
      </c>
    </row>
    <row r="87" customFormat="false" ht="15" hidden="false" customHeight="true" outlineLevel="0" collapsed="false">
      <c r="A87" s="5" t="s">
        <v>120</v>
      </c>
      <c r="B87" s="5" t="n">
        <f aca="false">VALUE(LEFT(A87,4))</f>
        <v>1970</v>
      </c>
      <c r="C87" s="6" t="n">
        <v>31.649</v>
      </c>
      <c r="D87" s="6" t="n">
        <v>215.156</v>
      </c>
      <c r="E87" s="7" t="n">
        <f aca="false">C87/D87*100</f>
        <v>14.7097919648999</v>
      </c>
    </row>
    <row r="88" customFormat="false" ht="15" hidden="false" customHeight="true" outlineLevel="0" collapsed="false">
      <c r="A88" s="5" t="s">
        <v>121</v>
      </c>
      <c r="B88" s="5" t="n">
        <f aca="false">VALUE(LEFT(A88,4))</f>
        <v>1970</v>
      </c>
      <c r="C88" s="6" t="n">
        <v>32.382</v>
      </c>
      <c r="D88" s="6" t="n">
        <v>217.829</v>
      </c>
      <c r="E88" s="7" t="n">
        <f aca="false">C88/D88*100</f>
        <v>14.8657892199845</v>
      </c>
    </row>
    <row r="89" customFormat="false" ht="15" hidden="false" customHeight="true" outlineLevel="0" collapsed="false">
      <c r="A89" s="5" t="s">
        <v>122</v>
      </c>
      <c r="B89" s="5" t="n">
        <f aca="false">VALUE(LEFT(A89,4))</f>
        <v>1971</v>
      </c>
      <c r="C89" s="6" t="n">
        <v>33.521</v>
      </c>
      <c r="D89" s="6" t="n">
        <v>221.244</v>
      </c>
      <c r="E89" s="7" t="n">
        <f aca="false">C89/D89*100</f>
        <v>15.1511453417946</v>
      </c>
    </row>
    <row r="90" customFormat="false" ht="15" hidden="false" customHeight="true" outlineLevel="0" collapsed="false">
      <c r="A90" s="5" t="s">
        <v>123</v>
      </c>
      <c r="B90" s="5" t="n">
        <f aca="false">VALUE(LEFT(A90,4))</f>
        <v>1971</v>
      </c>
      <c r="C90" s="6" t="n">
        <v>34.223</v>
      </c>
      <c r="D90" s="6" t="n">
        <v>223.63</v>
      </c>
      <c r="E90" s="7" t="n">
        <f aca="false">C90/D90*100</f>
        <v>15.3034029423601</v>
      </c>
    </row>
    <row r="91" customFormat="false" ht="15" hidden="false" customHeight="true" outlineLevel="0" collapsed="false">
      <c r="A91" s="5" t="s">
        <v>124</v>
      </c>
      <c r="B91" s="5" t="n">
        <f aca="false">VALUE(LEFT(A91,4))</f>
        <v>1971</v>
      </c>
      <c r="C91" s="6" t="n">
        <v>35.353</v>
      </c>
      <c r="D91" s="6" t="n">
        <v>226.601</v>
      </c>
      <c r="E91" s="7" t="n">
        <f aca="false">C91/D91*100</f>
        <v>15.601431591211</v>
      </c>
    </row>
    <row r="92" customFormat="false" ht="15" hidden="false" customHeight="true" outlineLevel="0" collapsed="false">
      <c r="A92" s="5" t="s">
        <v>125</v>
      </c>
      <c r="B92" s="5" t="n">
        <f aca="false">VALUE(LEFT(A92,4))</f>
        <v>1971</v>
      </c>
      <c r="C92" s="6" t="n">
        <v>36.021</v>
      </c>
      <c r="D92" s="6" t="n">
        <v>228.803</v>
      </c>
      <c r="E92" s="7" t="n">
        <f aca="false">C92/D92*100</f>
        <v>15.7432376323737</v>
      </c>
    </row>
    <row r="93" customFormat="false" ht="15" hidden="false" customHeight="true" outlineLevel="0" collapsed="false">
      <c r="A93" s="5" t="s">
        <v>126</v>
      </c>
      <c r="B93" s="5" t="n">
        <f aca="false">VALUE(LEFT(A93,4))</f>
        <v>1972</v>
      </c>
      <c r="C93" s="6" t="n">
        <v>37.231</v>
      </c>
      <c r="D93" s="6" t="n">
        <v>231.392</v>
      </c>
      <c r="E93" s="7" t="n">
        <f aca="false">C93/D93*100</f>
        <v>16.090011754944</v>
      </c>
    </row>
    <row r="94" customFormat="false" ht="15" hidden="false" customHeight="true" outlineLevel="0" collapsed="false">
      <c r="A94" s="5" t="s">
        <v>127</v>
      </c>
      <c r="B94" s="5" t="n">
        <f aca="false">VALUE(LEFT(A94,4))</f>
        <v>1972</v>
      </c>
      <c r="C94" s="6" t="n">
        <v>38.108</v>
      </c>
      <c r="D94" s="6" t="n">
        <v>233.079</v>
      </c>
      <c r="E94" s="7" t="n">
        <f aca="false">C94/D94*100</f>
        <v>16.3498213052227</v>
      </c>
    </row>
    <row r="95" customFormat="false" ht="15" hidden="false" customHeight="true" outlineLevel="0" collapsed="false">
      <c r="A95" s="5" t="s">
        <v>128</v>
      </c>
      <c r="B95" s="5" t="n">
        <f aca="false">VALUE(LEFT(A95,4))</f>
        <v>1972</v>
      </c>
      <c r="C95" s="6" t="n">
        <v>39.407</v>
      </c>
      <c r="D95" s="6" t="n">
        <v>236.253</v>
      </c>
      <c r="E95" s="7" t="n">
        <f aca="false">C95/D95*100</f>
        <v>16.67999983069</v>
      </c>
    </row>
    <row r="96" customFormat="false" ht="15" hidden="false" customHeight="true" outlineLevel="0" collapsed="false">
      <c r="A96" s="5" t="s">
        <v>129</v>
      </c>
      <c r="B96" s="5" t="n">
        <f aca="false">VALUE(LEFT(A96,4))</f>
        <v>1972</v>
      </c>
      <c r="C96" s="6" t="n">
        <v>40.391</v>
      </c>
      <c r="D96" s="6" t="n">
        <v>239.893</v>
      </c>
      <c r="E96" s="7" t="n">
        <f aca="false">C96/D96*100</f>
        <v>16.8370898692334</v>
      </c>
    </row>
    <row r="97" customFormat="false" ht="15" hidden="false" customHeight="true" outlineLevel="0" collapsed="false">
      <c r="A97" s="5" t="s">
        <v>130</v>
      </c>
      <c r="B97" s="5" t="n">
        <f aca="false">VALUE(LEFT(A97,4))</f>
        <v>1973</v>
      </c>
      <c r="C97" s="6" t="n">
        <v>41.868</v>
      </c>
      <c r="D97" s="6" t="n">
        <v>244.379</v>
      </c>
      <c r="E97" s="7" t="n">
        <f aca="false">C97/D97*100</f>
        <v>17.1324049938825</v>
      </c>
    </row>
    <row r="98" customFormat="false" ht="15" hidden="false" customHeight="true" outlineLevel="0" collapsed="false">
      <c r="A98" s="5" t="s">
        <v>131</v>
      </c>
      <c r="B98" s="5" t="n">
        <f aca="false">VALUE(LEFT(A98,4))</f>
        <v>1973</v>
      </c>
      <c r="C98" s="6" t="n">
        <v>43.317</v>
      </c>
      <c r="D98" s="6" t="n">
        <v>247.949</v>
      </c>
      <c r="E98" s="7" t="n">
        <f aca="false">C98/D98*100</f>
        <v>17.4701249047183</v>
      </c>
    </row>
    <row r="99" customFormat="false" ht="15" hidden="false" customHeight="true" outlineLevel="0" collapsed="false">
      <c r="A99" s="5" t="s">
        <v>132</v>
      </c>
      <c r="B99" s="5" t="n">
        <f aca="false">VALUE(LEFT(A99,4))</f>
        <v>1973</v>
      </c>
      <c r="C99" s="6" t="n">
        <v>45.154</v>
      </c>
      <c r="D99" s="6" t="n">
        <v>251.887</v>
      </c>
      <c r="E99" s="7" t="n">
        <f aca="false">C99/D99*100</f>
        <v>17.9262923453771</v>
      </c>
    </row>
    <row r="100" customFormat="false" ht="15" hidden="false" customHeight="true" outlineLevel="0" collapsed="false">
      <c r="A100" s="5" t="s">
        <v>133</v>
      </c>
      <c r="B100" s="5" t="n">
        <f aca="false">VALUE(LEFT(A100,4))</f>
        <v>1973</v>
      </c>
      <c r="C100" s="6" t="n">
        <v>47.486</v>
      </c>
      <c r="D100" s="6" t="n">
        <v>254.935</v>
      </c>
      <c r="E100" s="7" t="n">
        <f aca="false">C100/D100*100</f>
        <v>18.6267087689019</v>
      </c>
    </row>
    <row r="101" customFormat="false" ht="15" hidden="false" customHeight="true" outlineLevel="0" collapsed="false">
      <c r="A101" s="5" t="s">
        <v>134</v>
      </c>
      <c r="B101" s="5" t="n">
        <f aca="false">VALUE(LEFT(A101,4))</f>
        <v>1974</v>
      </c>
      <c r="C101" s="6" t="n">
        <v>48.938</v>
      </c>
      <c r="D101" s="6" t="n">
        <v>259.118</v>
      </c>
      <c r="E101" s="7" t="n">
        <f aca="false">C101/D101*100</f>
        <v>18.8863760912017</v>
      </c>
    </row>
    <row r="102" customFormat="false" ht="15" hidden="false" customHeight="true" outlineLevel="0" collapsed="false">
      <c r="A102" s="5" t="s">
        <v>135</v>
      </c>
      <c r="B102" s="5" t="n">
        <f aca="false">VALUE(LEFT(A102,4))</f>
        <v>1974</v>
      </c>
      <c r="C102" s="6" t="n">
        <v>50.815</v>
      </c>
      <c r="D102" s="6" t="n">
        <v>260.946</v>
      </c>
      <c r="E102" s="7" t="n">
        <f aca="false">C102/D102*100</f>
        <v>19.4733776336867</v>
      </c>
    </row>
    <row r="103" customFormat="false" ht="15" hidden="false" customHeight="true" outlineLevel="0" collapsed="false">
      <c r="A103" s="5" t="s">
        <v>136</v>
      </c>
      <c r="B103" s="5" t="n">
        <f aca="false">VALUE(LEFT(A103,4))</f>
        <v>1974</v>
      </c>
      <c r="C103" s="6" t="n">
        <v>52.942</v>
      </c>
      <c r="D103" s="6" t="n">
        <v>263.841</v>
      </c>
      <c r="E103" s="7" t="n">
        <f aca="false">C103/D103*100</f>
        <v>20.0658730068488</v>
      </c>
    </row>
    <row r="104" customFormat="false" ht="15" hidden="false" customHeight="true" outlineLevel="0" collapsed="false">
      <c r="A104" s="5" t="s">
        <v>137</v>
      </c>
      <c r="B104" s="5" t="n">
        <f aca="false">VALUE(LEFT(A104,4))</f>
        <v>1974</v>
      </c>
      <c r="C104" s="6" t="n">
        <v>54.61</v>
      </c>
      <c r="D104" s="6" t="n">
        <v>259.134</v>
      </c>
      <c r="E104" s="7" t="n">
        <f aca="false">C104/D104*100</f>
        <v>21.0740389142297</v>
      </c>
    </row>
    <row r="105" customFormat="false" ht="15" hidden="false" customHeight="true" outlineLevel="0" collapsed="false">
      <c r="A105" s="5" t="s">
        <v>138</v>
      </c>
      <c r="B105" s="5" t="n">
        <f aca="false">VALUE(LEFT(A105,4))</f>
        <v>1975</v>
      </c>
      <c r="C105" s="6" t="n">
        <v>56.112</v>
      </c>
      <c r="D105" s="6" t="n">
        <v>257.134</v>
      </c>
      <c r="E105" s="7" t="n">
        <f aca="false">C105/D105*100</f>
        <v>21.8220849829272</v>
      </c>
    </row>
    <row r="106" customFormat="false" ht="15" hidden="false" customHeight="true" outlineLevel="0" collapsed="false">
      <c r="A106" s="5" t="s">
        <v>139</v>
      </c>
      <c r="B106" s="5" t="n">
        <f aca="false">VALUE(LEFT(A106,4))</f>
        <v>1975</v>
      </c>
      <c r="C106" s="6" t="n">
        <v>57.372</v>
      </c>
      <c r="D106" s="6" t="n">
        <v>257.051</v>
      </c>
      <c r="E106" s="7" t="n">
        <f aca="false">C106/D106*100</f>
        <v>22.3193062855231</v>
      </c>
    </row>
    <row r="107" customFormat="false" ht="15" hidden="false" customHeight="true" outlineLevel="0" collapsed="false">
      <c r="A107" s="5" t="s">
        <v>140</v>
      </c>
      <c r="B107" s="5" t="n">
        <f aca="false">VALUE(LEFT(A107,4))</f>
        <v>1975</v>
      </c>
      <c r="C107" s="6" t="n">
        <v>59.029</v>
      </c>
      <c r="D107" s="6" t="n">
        <v>256.883</v>
      </c>
      <c r="E107" s="7" t="n">
        <f aca="false">C107/D107*100</f>
        <v>22.9789437214607</v>
      </c>
    </row>
    <row r="108" customFormat="false" ht="15" hidden="false" customHeight="true" outlineLevel="0" collapsed="false">
      <c r="A108" s="5" t="s">
        <v>141</v>
      </c>
      <c r="B108" s="5" t="n">
        <f aca="false">VALUE(LEFT(A108,4))</f>
        <v>1975</v>
      </c>
      <c r="C108" s="6" t="n">
        <v>61.07</v>
      </c>
      <c r="D108" s="6" t="n">
        <v>262.376</v>
      </c>
      <c r="E108" s="7" t="n">
        <f aca="false">C108/D108*100</f>
        <v>23.2757569289874</v>
      </c>
    </row>
    <row r="109" customFormat="false" ht="15" hidden="false" customHeight="true" outlineLevel="0" collapsed="false">
      <c r="A109" s="5" t="s">
        <v>142</v>
      </c>
      <c r="B109" s="5" t="n">
        <f aca="false">VALUE(LEFT(A109,4))</f>
        <v>1976</v>
      </c>
      <c r="C109" s="6" t="n">
        <v>63.45</v>
      </c>
      <c r="D109" s="6" t="n">
        <v>264.851</v>
      </c>
      <c r="E109" s="7" t="n">
        <f aca="false">C109/D109*100</f>
        <v>23.9568663135121</v>
      </c>
    </row>
    <row r="110" customFormat="false" ht="15" hidden="false" customHeight="true" outlineLevel="0" collapsed="false">
      <c r="A110" s="5" t="s">
        <v>143</v>
      </c>
      <c r="B110" s="5" t="n">
        <f aca="false">VALUE(LEFT(A110,4))</f>
        <v>1976</v>
      </c>
      <c r="C110" s="6" t="n">
        <v>66.418</v>
      </c>
      <c r="D110" s="6" t="n">
        <v>268.472</v>
      </c>
      <c r="E110" s="7" t="n">
        <f aca="false">C110/D110*100</f>
        <v>24.7392651747668</v>
      </c>
    </row>
    <row r="111" customFormat="false" ht="15" hidden="false" customHeight="true" outlineLevel="0" collapsed="false">
      <c r="A111" s="5" t="s">
        <v>144</v>
      </c>
      <c r="B111" s="5" t="n">
        <f aca="false">VALUE(LEFT(A111,4))</f>
        <v>1976</v>
      </c>
      <c r="C111" s="6" t="n">
        <v>68.85</v>
      </c>
      <c r="D111" s="6" t="n">
        <v>271.536</v>
      </c>
      <c r="E111" s="7" t="n">
        <f aca="false">C111/D111*100</f>
        <v>25.3557539331801</v>
      </c>
    </row>
    <row r="112" customFormat="false" ht="15" hidden="false" customHeight="true" outlineLevel="0" collapsed="false">
      <c r="A112" s="5" t="s">
        <v>145</v>
      </c>
      <c r="B112" s="5" t="n">
        <f aca="false">VALUE(LEFT(A112,4))</f>
        <v>1976</v>
      </c>
      <c r="C112" s="6" t="n">
        <v>70.996</v>
      </c>
      <c r="D112" s="6" t="n">
        <v>273.453</v>
      </c>
      <c r="E112" s="7" t="n">
        <f aca="false">C112/D112*100</f>
        <v>25.9627797098587</v>
      </c>
    </row>
    <row r="113" customFormat="false" ht="15" hidden="false" customHeight="true" outlineLevel="0" collapsed="false">
      <c r="A113" s="5" t="s">
        <v>146</v>
      </c>
      <c r="B113" s="5" t="n">
        <f aca="false">VALUE(LEFT(A113,4))</f>
        <v>1977</v>
      </c>
      <c r="C113" s="6" t="n">
        <v>72.794</v>
      </c>
      <c r="D113" s="6" t="n">
        <v>276.547</v>
      </c>
      <c r="E113" s="7" t="n">
        <f aca="false">C113/D113*100</f>
        <v>26.3224695982961</v>
      </c>
    </row>
    <row r="114" customFormat="false" ht="15" hidden="false" customHeight="true" outlineLevel="0" collapsed="false">
      <c r="A114" s="5" t="s">
        <v>147</v>
      </c>
      <c r="B114" s="5" t="n">
        <f aca="false">VALUE(LEFT(A114,4))</f>
        <v>1977</v>
      </c>
      <c r="C114" s="6" t="n">
        <v>74.933</v>
      </c>
      <c r="D114" s="6" t="n">
        <v>277.655</v>
      </c>
      <c r="E114" s="7" t="n">
        <f aca="false">C114/D114*100</f>
        <v>26.9878086114062</v>
      </c>
    </row>
    <row r="115" customFormat="false" ht="15" hidden="false" customHeight="true" outlineLevel="0" collapsed="false">
      <c r="A115" s="5" t="s">
        <v>148</v>
      </c>
      <c r="B115" s="5" t="n">
        <f aca="false">VALUE(LEFT(A115,4))</f>
        <v>1977</v>
      </c>
      <c r="C115" s="6" t="n">
        <v>77.082</v>
      </c>
      <c r="D115" s="6" t="n">
        <v>279.927</v>
      </c>
      <c r="E115" s="7" t="n">
        <f aca="false">C115/D115*100</f>
        <v>27.5364648640538</v>
      </c>
    </row>
    <row r="116" customFormat="false" ht="15" hidden="false" customHeight="true" outlineLevel="0" collapsed="false">
      <c r="A116" s="5" t="s">
        <v>149</v>
      </c>
      <c r="B116" s="5" t="n">
        <f aca="false">VALUE(LEFT(A116,4))</f>
        <v>1977</v>
      </c>
      <c r="C116" s="6" t="n">
        <v>79.098</v>
      </c>
      <c r="D116" s="6" t="n">
        <v>282.16</v>
      </c>
      <c r="E116" s="7" t="n">
        <f aca="false">C116/D116*100</f>
        <v>28.0330309044514</v>
      </c>
    </row>
    <row r="117" customFormat="false" ht="15" hidden="false" customHeight="true" outlineLevel="0" collapsed="false">
      <c r="A117" s="5" t="s">
        <v>150</v>
      </c>
      <c r="B117" s="5" t="n">
        <f aca="false">VALUE(LEFT(A117,4))</f>
        <v>1978</v>
      </c>
      <c r="C117" s="6" t="n">
        <v>81.41</v>
      </c>
      <c r="D117" s="6" t="n">
        <v>286.062</v>
      </c>
      <c r="E117" s="7" t="n">
        <f aca="false">C117/D117*100</f>
        <v>28.4588655606127</v>
      </c>
    </row>
    <row r="118" customFormat="false" ht="15" hidden="false" customHeight="true" outlineLevel="0" collapsed="false">
      <c r="A118" s="5" t="s">
        <v>151</v>
      </c>
      <c r="B118" s="5" t="n">
        <f aca="false">VALUE(LEFT(A118,4))</f>
        <v>1978</v>
      </c>
      <c r="C118" s="6" t="n">
        <v>84.782</v>
      </c>
      <c r="D118" s="6" t="n">
        <v>289.179</v>
      </c>
      <c r="E118" s="7" t="n">
        <f aca="false">C118/D118*100</f>
        <v>29.3181731730174</v>
      </c>
    </row>
    <row r="119" customFormat="false" ht="15" hidden="false" customHeight="true" outlineLevel="0" collapsed="false">
      <c r="A119" s="5" t="s">
        <v>152</v>
      </c>
      <c r="B119" s="5" t="n">
        <f aca="false">VALUE(LEFT(A119,4))</f>
        <v>1978</v>
      </c>
      <c r="C119" s="6" t="n">
        <v>88.088</v>
      </c>
      <c r="D119" s="6" t="n">
        <v>290.979</v>
      </c>
      <c r="E119" s="7" t="n">
        <f aca="false">C119/D119*100</f>
        <v>30.2729750256891</v>
      </c>
    </row>
    <row r="120" customFormat="false" ht="15" hidden="false" customHeight="true" outlineLevel="0" collapsed="false">
      <c r="A120" s="5" t="s">
        <v>153</v>
      </c>
      <c r="B120" s="5" t="n">
        <f aca="false">VALUE(LEFT(A120,4))</f>
        <v>1978</v>
      </c>
      <c r="C120" s="6" t="n">
        <v>90.907</v>
      </c>
      <c r="D120" s="6" t="n">
        <v>294.294</v>
      </c>
      <c r="E120" s="7" t="n">
        <f aca="false">C120/D120*100</f>
        <v>30.8898584408788</v>
      </c>
    </row>
    <row r="121" customFormat="false" ht="15" hidden="false" customHeight="true" outlineLevel="0" collapsed="false">
      <c r="A121" s="5" t="s">
        <v>154</v>
      </c>
      <c r="B121" s="5" t="n">
        <f aca="false">VALUE(LEFT(A121,4))</f>
        <v>1979</v>
      </c>
      <c r="C121" s="6" t="n">
        <v>94.156</v>
      </c>
      <c r="D121" s="6" t="n">
        <v>297.552</v>
      </c>
      <c r="E121" s="7" t="n">
        <f aca="false">C121/D121*100</f>
        <v>31.6435446577405</v>
      </c>
    </row>
    <row r="122" customFormat="false" ht="15" hidden="false" customHeight="true" outlineLevel="0" collapsed="false">
      <c r="A122" s="5" t="s">
        <v>155</v>
      </c>
      <c r="B122" s="5" t="n">
        <f aca="false">VALUE(LEFT(A122,4))</f>
        <v>1979</v>
      </c>
      <c r="C122" s="6" t="n">
        <v>96.655</v>
      </c>
      <c r="D122" s="6" t="n">
        <v>299.071</v>
      </c>
      <c r="E122" s="7" t="n">
        <f aca="false">C122/D122*100</f>
        <v>32.3184126846134</v>
      </c>
    </row>
    <row r="123" customFormat="false" ht="15" hidden="false" customHeight="true" outlineLevel="0" collapsed="false">
      <c r="A123" s="5" t="s">
        <v>156</v>
      </c>
      <c r="B123" s="5" t="n">
        <f aca="false">VALUE(LEFT(A123,4))</f>
        <v>1979</v>
      </c>
      <c r="C123" s="6" t="n">
        <v>100.222</v>
      </c>
      <c r="D123" s="6" t="n">
        <v>302.92</v>
      </c>
      <c r="E123" s="7" t="n">
        <f aca="false">C123/D123*100</f>
        <v>33.0853030503103</v>
      </c>
    </row>
    <row r="124" customFormat="false" ht="15" hidden="false" customHeight="true" outlineLevel="0" collapsed="false">
      <c r="A124" s="5" t="s">
        <v>157</v>
      </c>
      <c r="B124" s="5" t="n">
        <f aca="false">VALUE(LEFT(A124,4))</f>
        <v>1979</v>
      </c>
      <c r="C124" s="6" t="n">
        <v>103.458</v>
      </c>
      <c r="D124" s="6" t="n">
        <v>303.971</v>
      </c>
      <c r="E124" s="7" t="n">
        <f aca="false">C124/D124*100</f>
        <v>34.0354836481112</v>
      </c>
    </row>
    <row r="125" customFormat="false" ht="15" hidden="false" customHeight="true" outlineLevel="0" collapsed="false">
      <c r="A125" s="5" t="s">
        <v>158</v>
      </c>
      <c r="B125" s="5" t="n">
        <f aca="false">VALUE(LEFT(A125,4))</f>
        <v>1980</v>
      </c>
      <c r="C125" s="6" t="n">
        <v>107.687</v>
      </c>
      <c r="D125" s="6" t="n">
        <v>307.574</v>
      </c>
      <c r="E125" s="7" t="n">
        <f aca="false">C125/D125*100</f>
        <v>35.0117370128815</v>
      </c>
    </row>
    <row r="126" customFormat="false" ht="15" hidden="false" customHeight="true" outlineLevel="0" collapsed="false">
      <c r="A126" s="5" t="s">
        <v>159</v>
      </c>
      <c r="B126" s="5" t="n">
        <f aca="false">VALUE(LEFT(A126,4))</f>
        <v>1980</v>
      </c>
      <c r="C126" s="6" t="n">
        <v>110.396</v>
      </c>
      <c r="D126" s="6" t="n">
        <v>305.096</v>
      </c>
      <c r="E126" s="7" t="n">
        <f aca="false">C126/D126*100</f>
        <v>36.1840207672339</v>
      </c>
    </row>
    <row r="127" customFormat="false" ht="15" hidden="false" customHeight="true" outlineLevel="0" collapsed="false">
      <c r="A127" s="5" t="s">
        <v>160</v>
      </c>
      <c r="B127" s="5" t="n">
        <f aca="false">VALUE(LEFT(A127,4))</f>
        <v>1980</v>
      </c>
      <c r="C127" s="6" t="n">
        <v>113.504</v>
      </c>
      <c r="D127" s="6" t="n">
        <v>305.557</v>
      </c>
      <c r="E127" s="7" t="n">
        <f aca="false">C127/D127*100</f>
        <v>37.1465880343111</v>
      </c>
    </row>
    <row r="128" customFormat="false" ht="15" hidden="false" customHeight="true" outlineLevel="0" collapsed="false">
      <c r="A128" s="5" t="s">
        <v>161</v>
      </c>
      <c r="B128" s="5" t="n">
        <f aca="false">VALUE(LEFT(A128,4))</f>
        <v>1980</v>
      </c>
      <c r="C128" s="6" t="n">
        <v>115.758</v>
      </c>
      <c r="D128" s="6" t="n">
        <v>305.08</v>
      </c>
      <c r="E128" s="7" t="n">
        <f aca="false">C128/D128*100</f>
        <v>37.9434902320703</v>
      </c>
    </row>
    <row r="129" customFormat="false" ht="15" hidden="false" customHeight="true" outlineLevel="0" collapsed="false">
      <c r="A129" s="5" t="s">
        <v>162</v>
      </c>
      <c r="B129" s="5" t="n">
        <f aca="false">VALUE(LEFT(A129,4))</f>
        <v>1981</v>
      </c>
      <c r="C129" s="6" t="n">
        <v>119.403</v>
      </c>
      <c r="D129" s="6" t="n">
        <v>306.214</v>
      </c>
      <c r="E129" s="7" t="n">
        <f aca="false">C129/D129*100</f>
        <v>38.9933183982444</v>
      </c>
    </row>
    <row r="130" customFormat="false" ht="15" hidden="false" customHeight="true" outlineLevel="0" collapsed="false">
      <c r="A130" s="5" t="s">
        <v>163</v>
      </c>
      <c r="B130" s="5" t="n">
        <f aca="false">VALUE(LEFT(A130,4))</f>
        <v>1981</v>
      </c>
      <c r="C130" s="6" t="n">
        <v>123.406</v>
      </c>
      <c r="D130" s="6" t="n">
        <v>308.53</v>
      </c>
      <c r="E130" s="7" t="n">
        <f aca="false">C130/D130*100</f>
        <v>39.9980552944608</v>
      </c>
    </row>
    <row r="131" customFormat="false" ht="15" hidden="false" customHeight="true" outlineLevel="0" collapsed="false">
      <c r="A131" s="5" t="s">
        <v>164</v>
      </c>
      <c r="B131" s="5" t="n">
        <f aca="false">VALUE(LEFT(A131,4))</f>
        <v>1981</v>
      </c>
      <c r="C131" s="6" t="n">
        <v>128.109</v>
      </c>
      <c r="D131" s="6" t="n">
        <v>310.602</v>
      </c>
      <c r="E131" s="7" t="n">
        <f aca="false">C131/D131*100</f>
        <v>41.2453879884869</v>
      </c>
    </row>
    <row r="132" customFormat="false" ht="15" hidden="false" customHeight="true" outlineLevel="0" collapsed="false">
      <c r="A132" s="5" t="s">
        <v>165</v>
      </c>
      <c r="B132" s="5" t="n">
        <f aca="false">VALUE(LEFT(A132,4))</f>
        <v>1981</v>
      </c>
      <c r="C132" s="6" t="n">
        <v>133.648</v>
      </c>
      <c r="D132" s="6" t="n">
        <v>312.474</v>
      </c>
      <c r="E132" s="7" t="n">
        <f aca="false">C132/D132*100</f>
        <v>42.7709185404226</v>
      </c>
    </row>
    <row r="133" customFormat="false" ht="15" hidden="false" customHeight="true" outlineLevel="0" collapsed="false">
      <c r="A133" s="5" t="s">
        <v>166</v>
      </c>
      <c r="B133" s="5" t="n">
        <f aca="false">VALUE(LEFT(A133,4))</f>
        <v>1982</v>
      </c>
      <c r="C133" s="6" t="n">
        <v>139.088</v>
      </c>
      <c r="D133" s="6" t="n">
        <v>314.838</v>
      </c>
      <c r="E133" s="7" t="n">
        <f aca="false">C133/D133*100</f>
        <v>44.1776405643537</v>
      </c>
    </row>
    <row r="134" customFormat="false" ht="15" hidden="false" customHeight="true" outlineLevel="0" collapsed="false">
      <c r="A134" s="5" t="s">
        <v>167</v>
      </c>
      <c r="B134" s="5" t="n">
        <f aca="false">VALUE(LEFT(A134,4))</f>
        <v>1982</v>
      </c>
      <c r="C134" s="6" t="n">
        <v>143.763</v>
      </c>
      <c r="D134" s="6" t="n">
        <v>317.069</v>
      </c>
      <c r="E134" s="7" t="n">
        <f aca="false">C134/D134*100</f>
        <v>45.3412348731664</v>
      </c>
    </row>
    <row r="135" customFormat="false" ht="15" hidden="false" customHeight="true" outlineLevel="0" collapsed="false">
      <c r="A135" s="5" t="s">
        <v>168</v>
      </c>
      <c r="B135" s="5" t="n">
        <f aca="false">VALUE(LEFT(A135,4))</f>
        <v>1982</v>
      </c>
      <c r="C135" s="6" t="n">
        <v>146.462</v>
      </c>
      <c r="D135" s="6" t="n">
        <v>316.885</v>
      </c>
      <c r="E135" s="7" t="n">
        <f aca="false">C135/D135*100</f>
        <v>46.2192909099516</v>
      </c>
    </row>
    <row r="136" customFormat="false" ht="15" hidden="false" customHeight="true" outlineLevel="0" collapsed="false">
      <c r="A136" s="5" t="s">
        <v>169</v>
      </c>
      <c r="B136" s="5" t="n">
        <f aca="false">VALUE(LEFT(A136,4))</f>
        <v>1982</v>
      </c>
      <c r="C136" s="6" t="n">
        <v>149.612</v>
      </c>
      <c r="D136" s="6" t="n">
        <v>318.782</v>
      </c>
      <c r="E136" s="7" t="n">
        <f aca="false">C136/D136*100</f>
        <v>46.9323863957187</v>
      </c>
    </row>
    <row r="137" customFormat="false" ht="15" hidden="false" customHeight="true" outlineLevel="0" collapsed="false">
      <c r="A137" s="5" t="s">
        <v>170</v>
      </c>
      <c r="B137" s="5" t="n">
        <f aca="false">VALUE(LEFT(A137,4))</f>
        <v>1983</v>
      </c>
      <c r="C137" s="6" t="n">
        <v>154.297</v>
      </c>
      <c r="D137" s="6" t="n">
        <v>320.007</v>
      </c>
      <c r="E137" s="7" t="n">
        <f aca="false">C137/D137*100</f>
        <v>48.216757758424</v>
      </c>
    </row>
    <row r="138" customFormat="false" ht="15" hidden="false" customHeight="true" outlineLevel="0" collapsed="false">
      <c r="A138" s="5" t="s">
        <v>171</v>
      </c>
      <c r="B138" s="5" t="n">
        <f aca="false">VALUE(LEFT(A138,4))</f>
        <v>1983</v>
      </c>
      <c r="C138" s="6" t="n">
        <v>158.578</v>
      </c>
      <c r="D138" s="6" t="n">
        <v>320.182</v>
      </c>
      <c r="E138" s="7" t="n">
        <f aca="false">C138/D138*100</f>
        <v>49.5274562592526</v>
      </c>
    </row>
    <row r="139" customFormat="false" ht="15" hidden="false" customHeight="true" outlineLevel="0" collapsed="false">
      <c r="A139" s="5" t="s">
        <v>172</v>
      </c>
      <c r="B139" s="5" t="n">
        <f aca="false">VALUE(LEFT(A139,4))</f>
        <v>1983</v>
      </c>
      <c r="C139" s="6" t="n">
        <v>163.049</v>
      </c>
      <c r="D139" s="6" t="n">
        <v>320.696</v>
      </c>
      <c r="E139" s="7" t="n">
        <f aca="false">C139/D139*100</f>
        <v>50.8422306483399</v>
      </c>
    </row>
    <row r="140" customFormat="false" ht="15" hidden="false" customHeight="true" outlineLevel="0" collapsed="false">
      <c r="A140" s="5" t="s">
        <v>173</v>
      </c>
      <c r="B140" s="5" t="n">
        <f aca="false">VALUE(LEFT(A140,4))</f>
        <v>1983</v>
      </c>
      <c r="C140" s="6" t="n">
        <v>166.616</v>
      </c>
      <c r="D140" s="6" t="n">
        <v>322.692</v>
      </c>
      <c r="E140" s="7" t="n">
        <f aca="false">C140/D140*100</f>
        <v>51.6331362413695</v>
      </c>
    </row>
    <row r="141" customFormat="false" ht="15" hidden="false" customHeight="true" outlineLevel="0" collapsed="false">
      <c r="A141" s="5" t="s">
        <v>174</v>
      </c>
      <c r="B141" s="5" t="n">
        <f aca="false">VALUE(LEFT(A141,4))</f>
        <v>1984</v>
      </c>
      <c r="C141" s="6" t="n">
        <v>170.501</v>
      </c>
      <c r="D141" s="6" t="n">
        <v>324.129</v>
      </c>
      <c r="E141" s="7" t="n">
        <f aca="false">C141/D141*100</f>
        <v>52.6028217160452</v>
      </c>
    </row>
    <row r="142" customFormat="false" ht="15" hidden="false" customHeight="true" outlineLevel="0" collapsed="false">
      <c r="A142" s="5" t="s">
        <v>175</v>
      </c>
      <c r="B142" s="5" t="n">
        <f aca="false">VALUE(LEFT(A142,4))</f>
        <v>1984</v>
      </c>
      <c r="C142" s="6" t="n">
        <v>173.58</v>
      </c>
      <c r="D142" s="6" t="n">
        <v>325.672</v>
      </c>
      <c r="E142" s="7" t="n">
        <f aca="false">C142/D142*100</f>
        <v>53.2990247856739</v>
      </c>
    </row>
    <row r="143" customFormat="false" ht="15" hidden="false" customHeight="true" outlineLevel="0" collapsed="false">
      <c r="A143" s="5" t="s">
        <v>176</v>
      </c>
      <c r="B143" s="5" t="n">
        <f aca="false">VALUE(LEFT(A143,4))</f>
        <v>1984</v>
      </c>
      <c r="C143" s="6" t="n">
        <v>176.904</v>
      </c>
      <c r="D143" s="6" t="n">
        <v>327.777</v>
      </c>
      <c r="E143" s="7" t="n">
        <f aca="false">C143/D143*100</f>
        <v>53.9708399308066</v>
      </c>
    </row>
    <row r="144" customFormat="false" ht="15" hidden="false" customHeight="true" outlineLevel="0" collapsed="false">
      <c r="A144" s="5" t="s">
        <v>177</v>
      </c>
      <c r="B144" s="5" t="n">
        <f aca="false">VALUE(LEFT(A144,4))</f>
        <v>1984</v>
      </c>
      <c r="C144" s="6" t="n">
        <v>178.515</v>
      </c>
      <c r="D144" s="6" t="n">
        <v>327.475</v>
      </c>
      <c r="E144" s="7" t="n">
        <f aca="false">C144/D144*100</f>
        <v>54.5125582105504</v>
      </c>
    </row>
    <row r="145" customFormat="false" ht="15" hidden="false" customHeight="true" outlineLevel="0" collapsed="false">
      <c r="A145" s="5" t="s">
        <v>178</v>
      </c>
      <c r="B145" s="5" t="n">
        <f aca="false">VALUE(LEFT(A145,4))</f>
        <v>1985</v>
      </c>
      <c r="C145" s="6" t="n">
        <v>181.874</v>
      </c>
      <c r="D145" s="6" t="n">
        <v>328.296</v>
      </c>
      <c r="E145" s="7" t="n">
        <f aca="false">C145/D145*100</f>
        <v>55.3993956673246</v>
      </c>
    </row>
    <row r="146" customFormat="false" ht="15" hidden="false" customHeight="true" outlineLevel="0" collapsed="false">
      <c r="A146" s="5" t="s">
        <v>179</v>
      </c>
      <c r="B146" s="5" t="n">
        <f aca="false">VALUE(LEFT(A146,4))</f>
        <v>1985</v>
      </c>
      <c r="C146" s="6" t="n">
        <v>186.085</v>
      </c>
      <c r="D146" s="6" t="n">
        <v>331.027</v>
      </c>
      <c r="E146" s="7" t="n">
        <f aca="false">C146/D146*100</f>
        <v>56.2144477640797</v>
      </c>
    </row>
    <row r="147" customFormat="false" ht="15" hidden="false" customHeight="true" outlineLevel="0" collapsed="false">
      <c r="A147" s="5" t="s">
        <v>180</v>
      </c>
      <c r="B147" s="5" t="n">
        <f aca="false">VALUE(LEFT(A147,4))</f>
        <v>1985</v>
      </c>
      <c r="C147" s="6" t="n">
        <v>189.337</v>
      </c>
      <c r="D147" s="6" t="n">
        <v>332.921</v>
      </c>
      <c r="E147" s="7" t="n">
        <f aca="false">C147/D147*100</f>
        <v>56.8714499836298</v>
      </c>
    </row>
    <row r="148" customFormat="false" ht="15" hidden="false" customHeight="true" outlineLevel="0" collapsed="false">
      <c r="A148" s="5" t="s">
        <v>181</v>
      </c>
      <c r="B148" s="5" t="n">
        <f aca="false">VALUE(LEFT(A148,4))</f>
        <v>1985</v>
      </c>
      <c r="C148" s="6" t="n">
        <v>192.845</v>
      </c>
      <c r="D148" s="6" t="n">
        <v>334.602</v>
      </c>
      <c r="E148" s="7" t="n">
        <f aca="false">C148/D148*100</f>
        <v>57.6341444462376</v>
      </c>
    </row>
    <row r="149" customFormat="false" ht="15" hidden="false" customHeight="true" outlineLevel="0" collapsed="false">
      <c r="A149" s="5" t="s">
        <v>182</v>
      </c>
      <c r="B149" s="5" t="n">
        <f aca="false">VALUE(LEFT(A149,4))</f>
        <v>1986</v>
      </c>
      <c r="C149" s="6" t="n">
        <v>196.753</v>
      </c>
      <c r="D149" s="6" t="n">
        <v>335.636</v>
      </c>
      <c r="E149" s="7" t="n">
        <f aca="false">C149/D149*100</f>
        <v>58.6209465015672</v>
      </c>
    </row>
    <row r="150" customFormat="false" ht="15" hidden="false" customHeight="true" outlineLevel="0" collapsed="false">
      <c r="A150" s="5" t="s">
        <v>183</v>
      </c>
      <c r="B150" s="5" t="n">
        <f aca="false">VALUE(LEFT(A150,4))</f>
        <v>1986</v>
      </c>
      <c r="C150" s="6" t="n">
        <v>200.579</v>
      </c>
      <c r="D150" s="6" t="n">
        <v>339.318</v>
      </c>
      <c r="E150" s="7" t="n">
        <f aca="false">C150/D150*100</f>
        <v>59.1123960414714</v>
      </c>
    </row>
    <row r="151" customFormat="false" ht="15" hidden="false" customHeight="true" outlineLevel="0" collapsed="false">
      <c r="A151" s="5" t="s">
        <v>184</v>
      </c>
      <c r="B151" s="5" t="n">
        <f aca="false">VALUE(LEFT(A151,4))</f>
        <v>1986</v>
      </c>
      <c r="C151" s="6" t="n">
        <v>204.271</v>
      </c>
      <c r="D151" s="6" t="n">
        <v>341.16</v>
      </c>
      <c r="E151" s="7" t="n">
        <f aca="false">C151/D151*100</f>
        <v>59.8754250205182</v>
      </c>
    </row>
    <row r="152" customFormat="false" ht="15" hidden="false" customHeight="true" outlineLevel="0" collapsed="false">
      <c r="A152" s="5" t="s">
        <v>185</v>
      </c>
      <c r="B152" s="5" t="n">
        <f aca="false">VALUE(LEFT(A152,4))</f>
        <v>1986</v>
      </c>
      <c r="C152" s="6" t="n">
        <v>206.317</v>
      </c>
      <c r="D152" s="6" t="n">
        <v>341.586</v>
      </c>
      <c r="E152" s="7" t="n">
        <f aca="false">C152/D152*100</f>
        <v>60.3997236420696</v>
      </c>
    </row>
    <row r="153" customFormat="false" ht="15" hidden="false" customHeight="true" outlineLevel="0" collapsed="false">
      <c r="A153" s="5" t="s">
        <v>186</v>
      </c>
      <c r="B153" s="5" t="n">
        <f aca="false">VALUE(LEFT(A153,4))</f>
        <v>1987</v>
      </c>
      <c r="C153" s="6" t="n">
        <v>206.767</v>
      </c>
      <c r="D153" s="6" t="n">
        <v>341.867</v>
      </c>
      <c r="E153" s="7" t="n">
        <f aca="false">C153/D153*100</f>
        <v>60.4817077986468</v>
      </c>
    </row>
    <row r="154" customFormat="false" ht="15" hidden="false" customHeight="true" outlineLevel="0" collapsed="false">
      <c r="A154" s="5" t="s">
        <v>187</v>
      </c>
      <c r="B154" s="5" t="n">
        <f aca="false">VALUE(LEFT(A154,4))</f>
        <v>1987</v>
      </c>
      <c r="C154" s="6" t="n">
        <v>210.551</v>
      </c>
      <c r="D154" s="6" t="n">
        <v>346.957</v>
      </c>
      <c r="E154" s="7" t="n">
        <f aca="false">C154/D154*100</f>
        <v>60.6850416622233</v>
      </c>
    </row>
    <row r="155" customFormat="false" ht="15" hidden="false" customHeight="true" outlineLevel="0" collapsed="false">
      <c r="A155" s="5" t="s">
        <v>188</v>
      </c>
      <c r="B155" s="5" t="n">
        <f aca="false">VALUE(LEFT(A155,4))</f>
        <v>1987</v>
      </c>
      <c r="C155" s="6" t="n">
        <v>213.721</v>
      </c>
      <c r="D155" s="6" t="n">
        <v>349.29</v>
      </c>
      <c r="E155" s="7" t="n">
        <f aca="false">C155/D155*100</f>
        <v>61.1872655959232</v>
      </c>
    </row>
    <row r="156" customFormat="false" ht="15" hidden="false" customHeight="true" outlineLevel="0" collapsed="false">
      <c r="A156" s="5" t="s">
        <v>189</v>
      </c>
      <c r="B156" s="5" t="n">
        <f aca="false">VALUE(LEFT(A156,4))</f>
        <v>1987</v>
      </c>
      <c r="C156" s="6" t="n">
        <v>218.08</v>
      </c>
      <c r="D156" s="6" t="n">
        <v>354.442</v>
      </c>
      <c r="E156" s="7" t="n">
        <f aca="false">C156/D156*100</f>
        <v>61.5276970562179</v>
      </c>
    </row>
    <row r="157" customFormat="false" ht="15" hidden="false" customHeight="true" outlineLevel="0" collapsed="false">
      <c r="A157" s="5" t="s">
        <v>190</v>
      </c>
      <c r="B157" s="5" t="n">
        <f aca="false">VALUE(LEFT(A157,4))</f>
        <v>1988</v>
      </c>
      <c r="C157" s="6" t="n">
        <v>222.748</v>
      </c>
      <c r="D157" s="6" t="n">
        <v>358.993</v>
      </c>
      <c r="E157" s="7" t="n">
        <f aca="false">C157/D157*100</f>
        <v>62.0480065070907</v>
      </c>
    </row>
    <row r="158" customFormat="false" ht="15" hidden="false" customHeight="true" outlineLevel="0" collapsed="false">
      <c r="A158" s="5" t="s">
        <v>191</v>
      </c>
      <c r="B158" s="5" t="n">
        <f aca="false">VALUE(LEFT(A158,4))</f>
        <v>1988</v>
      </c>
      <c r="C158" s="6" t="n">
        <v>226.293</v>
      </c>
      <c r="D158" s="6" t="n">
        <v>362.135</v>
      </c>
      <c r="E158" s="7" t="n">
        <f aca="false">C158/D158*100</f>
        <v>62.4885747028042</v>
      </c>
    </row>
    <row r="159" customFormat="false" ht="15" hidden="false" customHeight="true" outlineLevel="0" collapsed="false">
      <c r="A159" s="5" t="s">
        <v>192</v>
      </c>
      <c r="B159" s="5" t="n">
        <f aca="false">VALUE(LEFT(A159,4))</f>
        <v>1988</v>
      </c>
      <c r="C159" s="6" t="n">
        <v>231.756</v>
      </c>
      <c r="D159" s="6" t="n">
        <v>366.718</v>
      </c>
      <c r="E159" s="7" t="n">
        <f aca="false">C159/D159*100</f>
        <v>63.197334191395</v>
      </c>
    </row>
    <row r="160" customFormat="false" ht="15" hidden="false" customHeight="true" outlineLevel="0" collapsed="false">
      <c r="A160" s="5" t="s">
        <v>193</v>
      </c>
      <c r="B160" s="5" t="n">
        <f aca="false">VALUE(LEFT(A160,4))</f>
        <v>1988</v>
      </c>
      <c r="C160" s="6" t="n">
        <v>236.313</v>
      </c>
      <c r="D160" s="6" t="n">
        <v>369.743</v>
      </c>
      <c r="E160" s="7" t="n">
        <f aca="false">C160/D160*100</f>
        <v>63.9127718442269</v>
      </c>
    </row>
    <row r="161" customFormat="false" ht="15" hidden="false" customHeight="true" outlineLevel="0" collapsed="false">
      <c r="A161" s="5" t="s">
        <v>194</v>
      </c>
      <c r="B161" s="5" t="n">
        <f aca="false">VALUE(LEFT(A161,4))</f>
        <v>1989</v>
      </c>
      <c r="C161" s="6" t="n">
        <v>241.151</v>
      </c>
      <c r="D161" s="6" t="n">
        <v>374.552</v>
      </c>
      <c r="E161" s="7" t="n">
        <f aca="false">C161/D161*100</f>
        <v>64.3838505734851</v>
      </c>
    </row>
    <row r="162" customFormat="false" ht="15" hidden="false" customHeight="true" outlineLevel="0" collapsed="false">
      <c r="A162" s="5" t="s">
        <v>195</v>
      </c>
      <c r="B162" s="5" t="n">
        <f aca="false">VALUE(LEFT(A162,4))</f>
        <v>1989</v>
      </c>
      <c r="C162" s="6" t="n">
        <v>244.73</v>
      </c>
      <c r="D162" s="6" t="n">
        <v>378.731</v>
      </c>
      <c r="E162" s="7" t="n">
        <f aca="false">C162/D162*100</f>
        <v>64.6184231024131</v>
      </c>
    </row>
    <row r="163" customFormat="false" ht="15" hidden="false" customHeight="true" outlineLevel="0" collapsed="false">
      <c r="A163" s="5" t="s">
        <v>196</v>
      </c>
      <c r="B163" s="5" t="n">
        <f aca="false">VALUE(LEFT(A163,4))</f>
        <v>1989</v>
      </c>
      <c r="C163" s="6" t="n">
        <v>249.282</v>
      </c>
      <c r="D163" s="6" t="n">
        <v>382.998</v>
      </c>
      <c r="E163" s="7" t="n">
        <f aca="false">C163/D163*100</f>
        <v>65.0870239531277</v>
      </c>
    </row>
    <row r="164" customFormat="false" ht="15" hidden="false" customHeight="true" outlineLevel="0" collapsed="false">
      <c r="A164" s="5" t="s">
        <v>197</v>
      </c>
      <c r="B164" s="5" t="n">
        <f aca="false">VALUE(LEFT(A164,4))</f>
        <v>1989</v>
      </c>
      <c r="C164" s="6" t="n">
        <v>254.437</v>
      </c>
      <c r="D164" s="6" t="n">
        <v>388.135</v>
      </c>
      <c r="E164" s="7" t="n">
        <f aca="false">C164/D164*100</f>
        <v>65.5537377458874</v>
      </c>
    </row>
    <row r="165" customFormat="false" ht="15" hidden="false" customHeight="true" outlineLevel="0" collapsed="false">
      <c r="A165" s="5" t="s">
        <v>198</v>
      </c>
      <c r="B165" s="5" t="n">
        <f aca="false">VALUE(LEFT(A165,4))</f>
        <v>1990</v>
      </c>
      <c r="C165" s="6" t="n">
        <v>257.331</v>
      </c>
      <c r="D165" s="6" t="n">
        <v>388.956</v>
      </c>
      <c r="E165" s="7" t="n">
        <f aca="false">C165/D165*100</f>
        <v>66.1594113472989</v>
      </c>
    </row>
    <row r="166" customFormat="false" ht="15" hidden="false" customHeight="true" outlineLevel="0" collapsed="false">
      <c r="A166" s="5" t="s">
        <v>199</v>
      </c>
      <c r="B166" s="5" t="n">
        <f aca="false">VALUE(LEFT(A166,4))</f>
        <v>1990</v>
      </c>
      <c r="C166" s="6" t="n">
        <v>260.766</v>
      </c>
      <c r="D166" s="6" t="n">
        <v>391.046</v>
      </c>
      <c r="E166" s="7" t="n">
        <f aca="false">C166/D166*100</f>
        <v>66.6842264081464</v>
      </c>
    </row>
    <row r="167" customFormat="false" ht="15" hidden="false" customHeight="true" outlineLevel="0" collapsed="false">
      <c r="A167" s="5" t="s">
        <v>200</v>
      </c>
      <c r="B167" s="5" t="n">
        <f aca="false">VALUE(LEFT(A167,4))</f>
        <v>1990</v>
      </c>
      <c r="C167" s="6" t="n">
        <v>262.309</v>
      </c>
      <c r="D167" s="6" t="n">
        <v>393.587</v>
      </c>
      <c r="E167" s="7" t="n">
        <f aca="false">C167/D167*100</f>
        <v>66.6457479540737</v>
      </c>
    </row>
    <row r="168" customFormat="false" ht="15" hidden="false" customHeight="true" outlineLevel="0" collapsed="false">
      <c r="A168" s="5" t="s">
        <v>201</v>
      </c>
      <c r="B168" s="5" t="n">
        <f aca="false">VALUE(LEFT(A168,4))</f>
        <v>1990</v>
      </c>
      <c r="C168" s="6" t="n">
        <v>264.098</v>
      </c>
      <c r="D168" s="6" t="n">
        <v>393.398</v>
      </c>
      <c r="E168" s="7" t="n">
        <f aca="false">C168/D168*100</f>
        <v>67.1325222802353</v>
      </c>
    </row>
    <row r="169" customFormat="false" ht="15" hidden="false" customHeight="true" outlineLevel="0" collapsed="false">
      <c r="A169" s="5" t="s">
        <v>202</v>
      </c>
      <c r="B169" s="5" t="n">
        <f aca="false">VALUE(LEFT(A169,4))</f>
        <v>1991</v>
      </c>
      <c r="C169" s="6" t="n">
        <v>266.143</v>
      </c>
      <c r="D169" s="6" t="n">
        <v>394.433</v>
      </c>
      <c r="E169" s="7" t="n">
        <f aca="false">C169/D169*100</f>
        <v>67.4748309598842</v>
      </c>
    </row>
    <row r="170" customFormat="false" ht="15" hidden="false" customHeight="true" outlineLevel="0" collapsed="false">
      <c r="A170" s="5" t="s">
        <v>203</v>
      </c>
      <c r="B170" s="5" t="n">
        <f aca="false">VALUE(LEFT(A170,4))</f>
        <v>1991</v>
      </c>
      <c r="C170" s="6" t="n">
        <v>269.871</v>
      </c>
      <c r="D170" s="6" t="n">
        <v>395.89</v>
      </c>
      <c r="E170" s="7" t="n">
        <f aca="false">C170/D170*100</f>
        <v>68.1681780292506</v>
      </c>
    </row>
    <row r="171" customFormat="false" ht="15" hidden="false" customHeight="true" outlineLevel="0" collapsed="false">
      <c r="A171" s="5" t="s">
        <v>204</v>
      </c>
      <c r="B171" s="5" t="n">
        <f aca="false">VALUE(LEFT(A171,4))</f>
        <v>1991</v>
      </c>
      <c r="C171" s="6" t="n">
        <v>272.522</v>
      </c>
      <c r="D171" s="6" t="n">
        <v>397.495</v>
      </c>
      <c r="E171" s="7" t="n">
        <f aca="false">C171/D171*100</f>
        <v>68.5598560988189</v>
      </c>
    </row>
    <row r="172" customFormat="false" ht="15" hidden="false" customHeight="true" outlineLevel="0" collapsed="false">
      <c r="A172" s="5" t="s">
        <v>205</v>
      </c>
      <c r="B172" s="5" t="n">
        <f aca="false">VALUE(LEFT(A172,4))</f>
        <v>1991</v>
      </c>
      <c r="C172" s="6" t="n">
        <v>275.248</v>
      </c>
      <c r="D172" s="6" t="n">
        <v>399.413</v>
      </c>
      <c r="E172" s="7" t="n">
        <f aca="false">C172/D172*100</f>
        <v>68.9131300183018</v>
      </c>
    </row>
    <row r="173" customFormat="false" ht="15" hidden="false" customHeight="true" outlineLevel="0" collapsed="false">
      <c r="A173" s="5" t="s">
        <v>206</v>
      </c>
      <c r="B173" s="5" t="n">
        <f aca="false">VALUE(LEFT(A173,4))</f>
        <v>1992</v>
      </c>
      <c r="C173" s="6" t="n">
        <v>279.385</v>
      </c>
      <c r="D173" s="6" t="n">
        <v>402.27</v>
      </c>
      <c r="E173" s="7" t="n">
        <f aca="false">C173/D173*100</f>
        <v>69.4521092798369</v>
      </c>
    </row>
    <row r="174" customFormat="false" ht="15" hidden="false" customHeight="true" outlineLevel="0" collapsed="false">
      <c r="A174" s="5" t="s">
        <v>207</v>
      </c>
      <c r="B174" s="5" t="n">
        <f aca="false">VALUE(LEFT(A174,4))</f>
        <v>1992</v>
      </c>
      <c r="C174" s="6" t="n">
        <v>279.894</v>
      </c>
      <c r="D174" s="6" t="n">
        <v>402.721</v>
      </c>
      <c r="E174" s="7" t="n">
        <f aca="false">C174/D174*100</f>
        <v>69.5007213430638</v>
      </c>
    </row>
    <row r="175" customFormat="false" ht="15" hidden="false" customHeight="true" outlineLevel="0" collapsed="false">
      <c r="A175" s="5" t="s">
        <v>208</v>
      </c>
      <c r="B175" s="5" t="n">
        <f aca="false">VALUE(LEFT(A175,4))</f>
        <v>1992</v>
      </c>
      <c r="C175" s="6" t="n">
        <v>280.867</v>
      </c>
      <c r="D175" s="6" t="n">
        <v>402.258</v>
      </c>
      <c r="E175" s="7" t="n">
        <f aca="false">C175/D175*100</f>
        <v>69.8226014150123</v>
      </c>
    </row>
    <row r="176" customFormat="false" ht="15" hidden="false" customHeight="true" outlineLevel="0" collapsed="false">
      <c r="A176" s="5" t="s">
        <v>209</v>
      </c>
      <c r="B176" s="5" t="n">
        <f aca="false">VALUE(LEFT(A176,4))</f>
        <v>1992</v>
      </c>
      <c r="C176" s="6" t="n">
        <v>281.185</v>
      </c>
      <c r="D176" s="6" t="n">
        <v>402.334</v>
      </c>
      <c r="E176" s="7" t="n">
        <f aca="false">C176/D176*100</f>
        <v>69.8884508890623</v>
      </c>
    </row>
    <row r="177" customFormat="false" ht="15" hidden="false" customHeight="true" outlineLevel="0" collapsed="false">
      <c r="A177" s="5" t="s">
        <v>210</v>
      </c>
      <c r="B177" s="5" t="n">
        <f aca="false">VALUE(LEFT(A177,4))</f>
        <v>1993</v>
      </c>
      <c r="C177" s="6" t="n">
        <v>282.441</v>
      </c>
      <c r="D177" s="6" t="n">
        <v>400.161</v>
      </c>
      <c r="E177" s="7" t="n">
        <f aca="false">C177/D177*100</f>
        <v>70.5818408090743</v>
      </c>
    </row>
    <row r="178" customFormat="false" ht="15" hidden="false" customHeight="true" outlineLevel="0" collapsed="false">
      <c r="A178" s="5" t="s">
        <v>211</v>
      </c>
      <c r="B178" s="5" t="n">
        <f aca="false">VALUE(LEFT(A178,4))</f>
        <v>1993</v>
      </c>
      <c r="C178" s="6" t="n">
        <v>283.005</v>
      </c>
      <c r="D178" s="6" t="n">
        <v>400.18</v>
      </c>
      <c r="E178" s="7" t="n">
        <f aca="false">C178/D178*100</f>
        <v>70.7194262581838</v>
      </c>
    </row>
    <row r="179" customFormat="false" ht="15" hidden="false" customHeight="true" outlineLevel="0" collapsed="false">
      <c r="A179" s="5" t="s">
        <v>212</v>
      </c>
      <c r="B179" s="5" t="n">
        <f aca="false">VALUE(LEFT(A179,4))</f>
        <v>1993</v>
      </c>
      <c r="C179" s="6" t="n">
        <v>283.616</v>
      </c>
      <c r="D179" s="6" t="n">
        <v>400.67</v>
      </c>
      <c r="E179" s="7" t="n">
        <f aca="false">C179/D179*100</f>
        <v>70.7854343973844</v>
      </c>
    </row>
    <row r="180" customFormat="false" ht="15" hidden="false" customHeight="true" outlineLevel="0" collapsed="false">
      <c r="A180" s="5" t="s">
        <v>213</v>
      </c>
      <c r="B180" s="5" t="n">
        <f aca="false">VALUE(LEFT(A180,4))</f>
        <v>1993</v>
      </c>
      <c r="C180" s="6" t="n">
        <v>285.211</v>
      </c>
      <c r="D180" s="6" t="n">
        <v>401.724</v>
      </c>
      <c r="E180" s="7" t="n">
        <f aca="false">C180/D180*100</f>
        <v>70.9967539903018</v>
      </c>
    </row>
    <row r="181" customFormat="false" ht="15" hidden="false" customHeight="true" outlineLevel="0" collapsed="false">
      <c r="A181" s="5" t="s">
        <v>214</v>
      </c>
      <c r="B181" s="5" t="n">
        <f aca="false">VALUE(LEFT(A181,4))</f>
        <v>1994</v>
      </c>
      <c r="C181" s="6" t="n">
        <v>287.632</v>
      </c>
      <c r="D181" s="6" t="n">
        <v>404.451</v>
      </c>
      <c r="E181" s="7" t="n">
        <f aca="false">C181/D181*100</f>
        <v>71.1166494828793</v>
      </c>
    </row>
    <row r="182" customFormat="false" ht="15" hidden="false" customHeight="true" outlineLevel="0" collapsed="false">
      <c r="A182" s="5" t="s">
        <v>215</v>
      </c>
      <c r="B182" s="5" t="n">
        <f aca="false">VALUE(LEFT(A182,4))</f>
        <v>1994</v>
      </c>
      <c r="C182" s="6" t="n">
        <v>291.602</v>
      </c>
      <c r="D182" s="6" t="n">
        <v>408.509</v>
      </c>
      <c r="E182" s="7" t="n">
        <f aca="false">C182/D182*100</f>
        <v>71.3820258549995</v>
      </c>
    </row>
    <row r="183" customFormat="false" ht="15" hidden="false" customHeight="true" outlineLevel="0" collapsed="false">
      <c r="A183" s="5" t="s">
        <v>216</v>
      </c>
      <c r="B183" s="5" t="n">
        <f aca="false">VALUE(LEFT(A183,4))</f>
        <v>1994</v>
      </c>
      <c r="C183" s="6" t="n">
        <v>294.652</v>
      </c>
      <c r="D183" s="6" t="n">
        <v>412.199</v>
      </c>
      <c r="E183" s="7" t="n">
        <f aca="false">C183/D183*100</f>
        <v>71.4829487698903</v>
      </c>
    </row>
    <row r="184" customFormat="false" ht="15" hidden="false" customHeight="true" outlineLevel="0" collapsed="false">
      <c r="A184" s="5" t="s">
        <v>217</v>
      </c>
      <c r="B184" s="5" t="n">
        <f aca="false">VALUE(LEFT(A184,4))</f>
        <v>1994</v>
      </c>
      <c r="C184" s="6" t="n">
        <v>298.43</v>
      </c>
      <c r="D184" s="6" t="n">
        <v>416.085</v>
      </c>
      <c r="E184" s="7" t="n">
        <f aca="false">C184/D184*100</f>
        <v>71.7233257627648</v>
      </c>
    </row>
    <row r="185" customFormat="false" ht="15" hidden="false" customHeight="true" outlineLevel="0" collapsed="false">
      <c r="A185" s="5" t="s">
        <v>218</v>
      </c>
      <c r="B185" s="5" t="n">
        <f aca="false">VALUE(LEFT(A185,4))</f>
        <v>1995</v>
      </c>
      <c r="C185" s="6" t="n">
        <v>300.395</v>
      </c>
      <c r="D185" s="6" t="n">
        <v>418.051</v>
      </c>
      <c r="E185" s="7" t="n">
        <f aca="false">C185/D185*100</f>
        <v>71.8560654082875</v>
      </c>
    </row>
    <row r="186" customFormat="false" ht="15" hidden="false" customHeight="true" outlineLevel="0" collapsed="false">
      <c r="A186" s="5" t="s">
        <v>219</v>
      </c>
      <c r="B186" s="5" t="n">
        <f aca="false">VALUE(LEFT(A186,4))</f>
        <v>1995</v>
      </c>
      <c r="C186" s="6" t="n">
        <v>303.302</v>
      </c>
      <c r="D186" s="6" t="n">
        <v>420.792</v>
      </c>
      <c r="E186" s="7" t="n">
        <f aca="false">C186/D186*100</f>
        <v>72.0788418030761</v>
      </c>
    </row>
    <row r="187" customFormat="false" ht="15" hidden="false" customHeight="true" outlineLevel="0" collapsed="false">
      <c r="A187" s="5" t="s">
        <v>220</v>
      </c>
      <c r="B187" s="5" t="n">
        <f aca="false">VALUE(LEFT(A187,4))</f>
        <v>1995</v>
      </c>
      <c r="C187" s="6" t="n">
        <v>304.874</v>
      </c>
      <c r="D187" s="6" t="n">
        <v>421.449</v>
      </c>
      <c r="E187" s="7" t="n">
        <f aca="false">C187/D187*100</f>
        <v>72.3394764253801</v>
      </c>
    </row>
    <row r="188" customFormat="false" ht="15" hidden="false" customHeight="true" outlineLevel="0" collapsed="false">
      <c r="A188" s="5" t="s">
        <v>221</v>
      </c>
      <c r="B188" s="5" t="n">
        <f aca="false">VALUE(LEFT(A188,4))</f>
        <v>1995</v>
      </c>
      <c r="C188" s="6" t="n">
        <v>306.338</v>
      </c>
      <c r="D188" s="6" t="n">
        <v>421.283</v>
      </c>
      <c r="E188" s="7" t="n">
        <f aca="false">C188/D188*100</f>
        <v>72.7154905372398</v>
      </c>
    </row>
    <row r="189" customFormat="false" ht="15" hidden="false" customHeight="true" outlineLevel="0" collapsed="false">
      <c r="A189" s="5" t="s">
        <v>222</v>
      </c>
      <c r="B189" s="5" t="n">
        <f aca="false">VALUE(LEFT(A189,4))</f>
        <v>1996</v>
      </c>
      <c r="C189" s="6" t="n">
        <v>309.767</v>
      </c>
      <c r="D189" s="6" t="n">
        <v>424.211</v>
      </c>
      <c r="E189" s="7" t="n">
        <f aca="false">C189/D189*100</f>
        <v>73.0219159804908</v>
      </c>
    </row>
    <row r="190" customFormat="false" ht="15" hidden="false" customHeight="true" outlineLevel="0" collapsed="false">
      <c r="A190" s="5" t="s">
        <v>223</v>
      </c>
      <c r="B190" s="5" t="n">
        <f aca="false">VALUE(LEFT(A190,4))</f>
        <v>1996</v>
      </c>
      <c r="C190" s="6" t="n">
        <v>311.12</v>
      </c>
      <c r="D190" s="6" t="n">
        <v>425.029</v>
      </c>
      <c r="E190" s="7" t="n">
        <f aca="false">C190/D190*100</f>
        <v>73.1997110785382</v>
      </c>
    </row>
    <row r="191" customFormat="false" ht="15" hidden="false" customHeight="true" outlineLevel="0" collapsed="false">
      <c r="A191" s="5" t="s">
        <v>224</v>
      </c>
      <c r="B191" s="5" t="n">
        <f aca="false">VALUE(LEFT(A191,4))</f>
        <v>1996</v>
      </c>
      <c r="C191" s="6" t="n">
        <v>312.537</v>
      </c>
      <c r="D191" s="6" t="n">
        <v>426.67</v>
      </c>
      <c r="E191" s="7" t="n">
        <f aca="false">C191/D191*100</f>
        <v>73.250287107132</v>
      </c>
    </row>
    <row r="192" customFormat="false" ht="15" hidden="false" customHeight="true" outlineLevel="0" collapsed="false">
      <c r="A192" s="5" t="s">
        <v>225</v>
      </c>
      <c r="B192" s="5" t="n">
        <f aca="false">VALUE(LEFT(A192,4))</f>
        <v>1996</v>
      </c>
      <c r="C192" s="6" t="n">
        <v>314.009</v>
      </c>
      <c r="D192" s="6" t="n">
        <v>428.311</v>
      </c>
      <c r="E192" s="7" t="n">
        <f aca="false">C192/D192*100</f>
        <v>73.3133167254635</v>
      </c>
    </row>
    <row r="193" customFormat="false" ht="15" hidden="false" customHeight="true" outlineLevel="0" collapsed="false">
      <c r="A193" s="5" t="s">
        <v>226</v>
      </c>
      <c r="B193" s="5" t="n">
        <f aca="false">VALUE(LEFT(A193,4))</f>
        <v>1997</v>
      </c>
      <c r="C193" s="6" t="n">
        <v>316.242</v>
      </c>
      <c r="D193" s="6" t="n">
        <v>430.14</v>
      </c>
      <c r="E193" s="7" t="n">
        <f aca="false">C193/D193*100</f>
        <v>73.520714186079</v>
      </c>
    </row>
    <row r="194" customFormat="false" ht="15" hidden="false" customHeight="true" outlineLevel="0" collapsed="false">
      <c r="A194" s="5" t="s">
        <v>227</v>
      </c>
      <c r="B194" s="5" t="n">
        <f aca="false">VALUE(LEFT(A194,4))</f>
        <v>1997</v>
      </c>
      <c r="C194" s="6" t="n">
        <v>320.622</v>
      </c>
      <c r="D194" s="6" t="n">
        <v>434.654</v>
      </c>
      <c r="E194" s="7" t="n">
        <f aca="false">C194/D194*100</f>
        <v>73.7648796514009</v>
      </c>
    </row>
    <row r="195" customFormat="false" ht="15" hidden="false" customHeight="true" outlineLevel="0" collapsed="false">
      <c r="A195" s="5" t="s">
        <v>228</v>
      </c>
      <c r="B195" s="5" t="n">
        <f aca="false">VALUE(LEFT(A195,4))</f>
        <v>1997</v>
      </c>
      <c r="C195" s="6" t="n">
        <v>324.435</v>
      </c>
      <c r="D195" s="6" t="n">
        <v>438.976</v>
      </c>
      <c r="E195" s="7" t="n">
        <f aca="false">C195/D195*100</f>
        <v>73.9072295524129</v>
      </c>
    </row>
    <row r="196" customFormat="false" ht="15" hidden="false" customHeight="true" outlineLevel="0" collapsed="false">
      <c r="A196" s="5" t="s">
        <v>229</v>
      </c>
      <c r="B196" s="5" t="n">
        <f aca="false">VALUE(LEFT(A196,4))</f>
        <v>1997</v>
      </c>
      <c r="C196" s="6" t="n">
        <v>328.812</v>
      </c>
      <c r="D196" s="6" t="n">
        <v>443.314</v>
      </c>
      <c r="E196" s="7" t="n">
        <f aca="false">C196/D196*100</f>
        <v>74.1713548410382</v>
      </c>
    </row>
    <row r="197" customFormat="false" ht="15" hidden="false" customHeight="true" outlineLevel="0" collapsed="false">
      <c r="A197" s="5" t="s">
        <v>230</v>
      </c>
      <c r="B197" s="5" t="n">
        <f aca="false">VALUE(LEFT(A197,4))</f>
        <v>1998</v>
      </c>
      <c r="C197" s="6" t="n">
        <v>333.037</v>
      </c>
      <c r="D197" s="6" t="n">
        <v>447.564</v>
      </c>
      <c r="E197" s="7" t="n">
        <f aca="false">C197/D197*100</f>
        <v>74.4110339526861</v>
      </c>
    </row>
    <row r="198" customFormat="false" ht="15" hidden="false" customHeight="true" outlineLevel="0" collapsed="false">
      <c r="A198" s="5" t="s">
        <v>231</v>
      </c>
      <c r="B198" s="5" t="n">
        <f aca="false">VALUE(LEFT(A198,4))</f>
        <v>1998</v>
      </c>
      <c r="C198" s="6" t="n">
        <v>336.049</v>
      </c>
      <c r="D198" s="6" t="n">
        <v>450.769</v>
      </c>
      <c r="E198" s="7" t="n">
        <f aca="false">C198/D198*100</f>
        <v>74.5501576195346</v>
      </c>
    </row>
    <row r="199" customFormat="false" ht="15" hidden="false" customHeight="true" outlineLevel="0" collapsed="false">
      <c r="A199" s="5" t="s">
        <v>232</v>
      </c>
      <c r="B199" s="5" t="n">
        <f aca="false">VALUE(LEFT(A199,4))</f>
        <v>1998</v>
      </c>
      <c r="C199" s="6" t="n">
        <v>337.702</v>
      </c>
      <c r="D199" s="6" t="n">
        <v>453.1</v>
      </c>
      <c r="E199" s="7" t="n">
        <f aca="false">C199/D199*100</f>
        <v>74.5314500110351</v>
      </c>
    </row>
    <row r="200" customFormat="false" ht="15" hidden="false" customHeight="true" outlineLevel="0" collapsed="false">
      <c r="A200" s="5" t="s">
        <v>233</v>
      </c>
      <c r="B200" s="5" t="n">
        <f aca="false">VALUE(LEFT(A200,4))</f>
        <v>1998</v>
      </c>
      <c r="C200" s="6" t="n">
        <v>340.163</v>
      </c>
      <c r="D200" s="6" t="n">
        <v>456.206</v>
      </c>
      <c r="E200" s="7" t="n">
        <f aca="false">C200/D200*100</f>
        <v>74.5634647505732</v>
      </c>
    </row>
    <row r="201" customFormat="false" ht="15" hidden="false" customHeight="true" outlineLevel="0" collapsed="false">
      <c r="A201" s="5" t="s">
        <v>234</v>
      </c>
      <c r="B201" s="5" t="n">
        <f aca="false">VALUE(LEFT(A201,4))</f>
        <v>1999</v>
      </c>
      <c r="C201" s="6" t="n">
        <v>342.826</v>
      </c>
      <c r="D201" s="6" t="n">
        <v>459.345</v>
      </c>
      <c r="E201" s="7" t="n">
        <f aca="false">C201/D201*100</f>
        <v>74.6336631507908</v>
      </c>
    </row>
    <row r="202" customFormat="false" ht="15" hidden="false" customHeight="true" outlineLevel="0" collapsed="false">
      <c r="A202" s="5" t="s">
        <v>235</v>
      </c>
      <c r="B202" s="5" t="n">
        <f aca="false">VALUE(LEFT(A202,4))</f>
        <v>1999</v>
      </c>
      <c r="C202" s="6" t="n">
        <v>345.436</v>
      </c>
      <c r="D202" s="6" t="n">
        <v>462.324</v>
      </c>
      <c r="E202" s="7" t="n">
        <f aca="false">C202/D202*100</f>
        <v>74.7172978257672</v>
      </c>
    </row>
    <row r="203" customFormat="false" ht="15" hidden="false" customHeight="true" outlineLevel="0" collapsed="false">
      <c r="A203" s="5" t="s">
        <v>236</v>
      </c>
      <c r="B203" s="5" t="n">
        <f aca="false">VALUE(LEFT(A203,4))</f>
        <v>1999</v>
      </c>
      <c r="C203" s="6" t="n">
        <v>350.361</v>
      </c>
      <c r="D203" s="6" t="n">
        <v>469.134</v>
      </c>
      <c r="E203" s="7" t="n">
        <f aca="false">C203/D203*100</f>
        <v>74.6825000959214</v>
      </c>
    </row>
    <row r="204" customFormat="false" ht="15" hidden="false" customHeight="true" outlineLevel="0" collapsed="false">
      <c r="A204" s="5" t="s">
        <v>237</v>
      </c>
      <c r="B204" s="5" t="n">
        <f aca="false">VALUE(LEFT(A204,4))</f>
        <v>1999</v>
      </c>
      <c r="C204" s="6" t="n">
        <v>355.431</v>
      </c>
      <c r="D204" s="6" t="n">
        <v>475.778</v>
      </c>
      <c r="E204" s="7" t="n">
        <f aca="false">C204/D204*100</f>
        <v>74.7052196612706</v>
      </c>
    </row>
    <row r="205" customFormat="false" ht="15" hidden="false" customHeight="true" outlineLevel="0" collapsed="false">
      <c r="A205" s="5" t="s">
        <v>238</v>
      </c>
      <c r="B205" s="5" t="n">
        <f aca="false">VALUE(LEFT(A205,4))</f>
        <v>2000</v>
      </c>
      <c r="C205" s="6" t="n">
        <v>361.566</v>
      </c>
      <c r="D205" s="6" t="n">
        <v>480.275</v>
      </c>
      <c r="E205" s="7" t="n">
        <f aca="false">C205/D205*100</f>
        <v>75.2831190463797</v>
      </c>
    </row>
    <row r="206" customFormat="false" ht="15" hidden="false" customHeight="true" outlineLevel="0" collapsed="false">
      <c r="A206" s="5" t="s">
        <v>239</v>
      </c>
      <c r="B206" s="5" t="n">
        <f aca="false">VALUE(LEFT(A206,4))</f>
        <v>2000</v>
      </c>
      <c r="C206" s="6" t="n">
        <v>366.517</v>
      </c>
      <c r="D206" s="6" t="n">
        <v>485.802</v>
      </c>
      <c r="E206" s="7" t="n">
        <f aca="false">C206/D206*100</f>
        <v>75.4457577366911</v>
      </c>
    </row>
    <row r="207" customFormat="false" ht="15" hidden="false" customHeight="true" outlineLevel="0" collapsed="false">
      <c r="A207" s="5" t="s">
        <v>240</v>
      </c>
      <c r="B207" s="5" t="n">
        <f aca="false">VALUE(LEFT(A207,4))</f>
        <v>2000</v>
      </c>
      <c r="C207" s="6" t="n">
        <v>371.648</v>
      </c>
      <c r="D207" s="6" t="n">
        <v>489.599</v>
      </c>
      <c r="E207" s="7" t="n">
        <f aca="false">C207/D207*100</f>
        <v>75.9086517742071</v>
      </c>
    </row>
    <row r="208" customFormat="false" ht="15" hidden="false" customHeight="true" outlineLevel="0" collapsed="false">
      <c r="A208" s="5" t="s">
        <v>241</v>
      </c>
      <c r="B208" s="5" t="n">
        <f aca="false">VALUE(LEFT(A208,4))</f>
        <v>2000</v>
      </c>
      <c r="C208" s="6" t="n">
        <v>375.772</v>
      </c>
      <c r="D208" s="6" t="n">
        <v>492.497</v>
      </c>
      <c r="E208" s="7" t="n">
        <f aca="false">C208/D208*100</f>
        <v>76.2993480163331</v>
      </c>
    </row>
    <row r="209" customFormat="false" ht="15" hidden="false" customHeight="true" outlineLevel="0" collapsed="false">
      <c r="A209" s="5" t="s">
        <v>242</v>
      </c>
      <c r="B209" s="5" t="n">
        <f aca="false">VALUE(LEFT(A209,4))</f>
        <v>2001</v>
      </c>
      <c r="C209" s="6" t="n">
        <v>379.044</v>
      </c>
      <c r="D209" s="6" t="n">
        <v>494.949</v>
      </c>
      <c r="E209" s="7" t="n">
        <f aca="false">C209/D209*100</f>
        <v>76.5824357661092</v>
      </c>
    </row>
    <row r="210" customFormat="false" ht="15" hidden="false" customHeight="true" outlineLevel="0" collapsed="false">
      <c r="A210" s="5" t="s">
        <v>243</v>
      </c>
      <c r="B210" s="5" t="n">
        <f aca="false">VALUE(LEFT(A210,4))</f>
        <v>2001</v>
      </c>
      <c r="C210" s="6" t="n">
        <v>381.414</v>
      </c>
      <c r="D210" s="6" t="n">
        <v>495.167</v>
      </c>
      <c r="E210" s="7" t="n">
        <f aca="false">C210/D210*100</f>
        <v>77.0273463296221</v>
      </c>
    </row>
    <row r="211" customFormat="false" ht="15" hidden="false" customHeight="true" outlineLevel="0" collapsed="false">
      <c r="A211" s="5" t="s">
        <v>244</v>
      </c>
      <c r="B211" s="5" t="n">
        <f aca="false">VALUE(LEFT(A211,4))</f>
        <v>2001</v>
      </c>
      <c r="C211" s="6" t="n">
        <v>385.026</v>
      </c>
      <c r="D211" s="6" t="n">
        <v>498.022</v>
      </c>
      <c r="E211" s="7" t="n">
        <f aca="false">C211/D211*100</f>
        <v>77.311042484067</v>
      </c>
    </row>
    <row r="212" customFormat="false" ht="15" hidden="false" customHeight="true" outlineLevel="0" collapsed="false">
      <c r="A212" s="5" t="s">
        <v>245</v>
      </c>
      <c r="B212" s="5" t="n">
        <f aca="false">VALUE(LEFT(A212,4))</f>
        <v>2001</v>
      </c>
      <c r="C212" s="6" t="n">
        <v>385.76</v>
      </c>
      <c r="D212" s="6" t="n">
        <v>495.825</v>
      </c>
      <c r="E212" s="7" t="n">
        <f aca="false">C212/D212*100</f>
        <v>77.8016437251046</v>
      </c>
    </row>
    <row r="213" customFormat="false" ht="15" hidden="false" customHeight="true" outlineLevel="0" collapsed="false">
      <c r="A213" s="5" t="s">
        <v>246</v>
      </c>
      <c r="B213" s="5" t="n">
        <f aca="false">VALUE(LEFT(A213,4))</f>
        <v>2002</v>
      </c>
      <c r="C213" s="6" t="n">
        <v>390.216</v>
      </c>
      <c r="D213" s="6" t="n">
        <v>498.684</v>
      </c>
      <c r="E213" s="7" t="n">
        <f aca="false">C213/D213*100</f>
        <v>78.2491517674519</v>
      </c>
    </row>
    <row r="214" customFormat="false" ht="15" hidden="false" customHeight="true" outlineLevel="0" collapsed="false">
      <c r="A214" s="5" t="s">
        <v>247</v>
      </c>
      <c r="B214" s="5" t="n">
        <f aca="false">VALUE(LEFT(A214,4))</f>
        <v>2002</v>
      </c>
      <c r="C214" s="6" t="n">
        <v>393.532</v>
      </c>
      <c r="D214" s="6" t="n">
        <v>501.053</v>
      </c>
      <c r="E214" s="7" t="n">
        <f aca="false">C214/D214*100</f>
        <v>78.5409926694382</v>
      </c>
    </row>
    <row r="215" customFormat="false" ht="15" hidden="false" customHeight="true" outlineLevel="0" collapsed="false">
      <c r="A215" s="5" t="s">
        <v>248</v>
      </c>
      <c r="B215" s="5" t="n">
        <f aca="false">VALUE(LEFT(A215,4))</f>
        <v>2002</v>
      </c>
      <c r="C215" s="6" t="n">
        <v>397.258</v>
      </c>
      <c r="D215" s="6" t="n">
        <v>503.071</v>
      </c>
      <c r="E215" s="7" t="n">
        <f aca="false">C215/D215*100</f>
        <v>78.9665872212868</v>
      </c>
    </row>
    <row r="216" customFormat="false" ht="15" hidden="false" customHeight="true" outlineLevel="0" collapsed="false">
      <c r="A216" s="5" t="s">
        <v>249</v>
      </c>
      <c r="B216" s="5" t="n">
        <f aca="false">VALUE(LEFT(A216,4))</f>
        <v>2002</v>
      </c>
      <c r="C216" s="6" t="n">
        <v>399.453</v>
      </c>
      <c r="D216" s="6" t="n">
        <v>503.504</v>
      </c>
      <c r="E216" s="7" t="n">
        <f aca="false">C216/D216*100</f>
        <v>79.3346229622803</v>
      </c>
    </row>
    <row r="217" customFormat="false" ht="15" hidden="false" customHeight="true" outlineLevel="0" collapsed="false">
      <c r="A217" s="5" t="s">
        <v>250</v>
      </c>
      <c r="B217" s="5" t="n">
        <f aca="false">VALUE(LEFT(A217,4))</f>
        <v>2003</v>
      </c>
      <c r="C217" s="6" t="n">
        <v>401.82</v>
      </c>
      <c r="D217" s="6" t="n">
        <v>504.921</v>
      </c>
      <c r="E217" s="7" t="n">
        <f aca="false">C217/D217*100</f>
        <v>79.5807661000434</v>
      </c>
    </row>
    <row r="218" customFormat="false" ht="15" hidden="false" customHeight="true" outlineLevel="0" collapsed="false">
      <c r="A218" s="5" t="s">
        <v>251</v>
      </c>
      <c r="B218" s="5" t="n">
        <f aca="false">VALUE(LEFT(A218,4))</f>
        <v>2003</v>
      </c>
      <c r="C218" s="6" t="n">
        <v>402.249</v>
      </c>
      <c r="D218" s="6" t="n">
        <v>502.745</v>
      </c>
      <c r="E218" s="7" t="n">
        <f aca="false">C218/D218*100</f>
        <v>80.0105421237407</v>
      </c>
    </row>
    <row r="219" customFormat="false" ht="15" hidden="false" customHeight="true" outlineLevel="0" collapsed="false">
      <c r="A219" s="5" t="s">
        <v>252</v>
      </c>
      <c r="B219" s="5" t="n">
        <f aca="false">VALUE(LEFT(A219,4))</f>
        <v>2003</v>
      </c>
      <c r="C219" s="6" t="n">
        <v>408.968</v>
      </c>
      <c r="D219" s="6" t="n">
        <v>508.283</v>
      </c>
      <c r="E219" s="7" t="n">
        <f aca="false">C219/D219*100</f>
        <v>80.4606882386387</v>
      </c>
    </row>
    <row r="220" customFormat="false" ht="15" hidden="false" customHeight="true" outlineLevel="0" collapsed="false">
      <c r="A220" s="5" t="s">
        <v>253</v>
      </c>
      <c r="B220" s="5" t="n">
        <f aca="false">VALUE(LEFT(A220,4))</f>
        <v>2003</v>
      </c>
      <c r="C220" s="6" t="n">
        <v>411.77</v>
      </c>
      <c r="D220" s="6" t="n">
        <v>510.198</v>
      </c>
      <c r="E220" s="7" t="n">
        <f aca="false">C220/D220*100</f>
        <v>80.7078820379539</v>
      </c>
    </row>
    <row r="221" customFormat="false" ht="15" hidden="false" customHeight="true" outlineLevel="0" collapsed="false">
      <c r="A221" s="5" t="s">
        <v>254</v>
      </c>
      <c r="B221" s="5" t="n">
        <f aca="false">VALUE(LEFT(A221,4))</f>
        <v>2004</v>
      </c>
      <c r="C221" s="6" t="n">
        <v>418.056</v>
      </c>
      <c r="D221" s="6" t="n">
        <v>515.464</v>
      </c>
      <c r="E221" s="7" t="n">
        <f aca="false">C221/D221*100</f>
        <v>81.1028510235438</v>
      </c>
    </row>
    <row r="222" customFormat="false" ht="15" hidden="false" customHeight="true" outlineLevel="0" collapsed="false">
      <c r="A222" s="5" t="s">
        <v>255</v>
      </c>
      <c r="B222" s="5" t="n">
        <f aca="false">VALUE(LEFT(A222,4))</f>
        <v>2004</v>
      </c>
      <c r="C222" s="6" t="n">
        <v>420.793</v>
      </c>
      <c r="D222" s="6" t="n">
        <v>517.802</v>
      </c>
      <c r="E222" s="7" t="n">
        <f aca="false">C222/D222*100</f>
        <v>81.265232656498</v>
      </c>
    </row>
    <row r="223" customFormat="false" ht="15" hidden="false" customHeight="true" outlineLevel="0" collapsed="false">
      <c r="A223" s="5" t="s">
        <v>256</v>
      </c>
      <c r="B223" s="5" t="n">
        <f aca="false">VALUE(LEFT(A223,4))</f>
        <v>2004</v>
      </c>
      <c r="C223" s="6" t="n">
        <v>424.031</v>
      </c>
      <c r="D223" s="6" t="n">
        <v>519.636</v>
      </c>
      <c r="E223" s="7" t="n">
        <f aca="false">C223/D223*100</f>
        <v>81.6015441578336</v>
      </c>
    </row>
    <row r="224" customFormat="false" ht="15" hidden="false" customHeight="true" outlineLevel="0" collapsed="false">
      <c r="A224" s="5" t="s">
        <v>257</v>
      </c>
      <c r="B224" s="5" t="n">
        <f aca="false">VALUE(LEFT(A224,4))</f>
        <v>2004</v>
      </c>
      <c r="C224" s="6" t="n">
        <v>429.999</v>
      </c>
      <c r="D224" s="6" t="n">
        <v>524.278</v>
      </c>
      <c r="E224" s="7" t="n">
        <f aca="false">C224/D224*100</f>
        <v>82.017364833161</v>
      </c>
    </row>
    <row r="225" customFormat="false" ht="15" hidden="false" customHeight="true" outlineLevel="0" collapsed="false">
      <c r="A225" s="5" t="s">
        <v>258</v>
      </c>
      <c r="B225" s="5" t="n">
        <f aca="false">VALUE(LEFT(A225,4))</f>
        <v>2005</v>
      </c>
      <c r="C225" s="6" t="n">
        <v>433.479</v>
      </c>
      <c r="D225" s="6" t="n">
        <v>525.806</v>
      </c>
      <c r="E225" s="7" t="n">
        <f aca="false">C225/D225*100</f>
        <v>82.4408622191454</v>
      </c>
    </row>
    <row r="226" customFormat="false" ht="15" hidden="false" customHeight="true" outlineLevel="0" collapsed="false">
      <c r="A226" s="5" t="s">
        <v>259</v>
      </c>
      <c r="B226" s="5" t="n">
        <f aca="false">VALUE(LEFT(A226,4))</f>
        <v>2005</v>
      </c>
      <c r="C226" s="6" t="n">
        <v>437.115</v>
      </c>
      <c r="D226" s="6" t="n">
        <v>526.925</v>
      </c>
      <c r="E226" s="7" t="n">
        <f aca="false">C226/D226*100</f>
        <v>82.9558286283627</v>
      </c>
    </row>
    <row r="227" customFormat="false" ht="15" hidden="false" customHeight="true" outlineLevel="0" collapsed="false">
      <c r="A227" s="5" t="s">
        <v>260</v>
      </c>
      <c r="B227" s="5" t="n">
        <f aca="false">VALUE(LEFT(A227,4))</f>
        <v>2005</v>
      </c>
      <c r="C227" s="6" t="n">
        <v>442.633</v>
      </c>
      <c r="D227" s="6" t="n">
        <v>531.031</v>
      </c>
      <c r="E227" s="7" t="n">
        <f aca="false">C227/D227*100</f>
        <v>83.3535142016191</v>
      </c>
    </row>
    <row r="228" customFormat="false" ht="15" hidden="false" customHeight="true" outlineLevel="0" collapsed="false">
      <c r="A228" s="5" t="s">
        <v>261</v>
      </c>
      <c r="B228" s="5" t="n">
        <f aca="false">VALUE(LEFT(A228,4))</f>
        <v>2005</v>
      </c>
      <c r="C228" s="6" t="n">
        <v>447.293</v>
      </c>
      <c r="D228" s="6" t="n">
        <v>534.689</v>
      </c>
      <c r="E228" s="7" t="n">
        <f aca="false">C228/D228*100</f>
        <v>83.6547974617021</v>
      </c>
    </row>
    <row r="229" customFormat="false" ht="15" hidden="false" customHeight="true" outlineLevel="0" collapsed="false">
      <c r="A229" s="5" t="s">
        <v>262</v>
      </c>
      <c r="B229" s="5" t="n">
        <f aca="false">VALUE(LEFT(A229,4))</f>
        <v>2006</v>
      </c>
      <c r="C229" s="6" t="n">
        <v>452.762</v>
      </c>
      <c r="D229" s="6" t="n">
        <v>539.296</v>
      </c>
      <c r="E229" s="7" t="n">
        <f aca="false">C229/D229*100</f>
        <v>83.9542663027354</v>
      </c>
    </row>
    <row r="230" customFormat="false" ht="15" hidden="false" customHeight="true" outlineLevel="0" collapsed="false">
      <c r="A230" s="5" t="s">
        <v>263</v>
      </c>
      <c r="B230" s="5" t="n">
        <f aca="false">VALUE(LEFT(A230,4))</f>
        <v>2006</v>
      </c>
      <c r="C230" s="6" t="n">
        <v>460.446</v>
      </c>
      <c r="D230" s="6" t="n">
        <v>545.894</v>
      </c>
      <c r="E230" s="7" t="n">
        <f aca="false">C230/D230*100</f>
        <v>84.347144317395</v>
      </c>
    </row>
    <row r="231" customFormat="false" ht="15" hidden="false" customHeight="true" outlineLevel="0" collapsed="false">
      <c r="A231" s="5" t="s">
        <v>264</v>
      </c>
      <c r="B231" s="5" t="n">
        <f aca="false">VALUE(LEFT(A231,4))</f>
        <v>2006</v>
      </c>
      <c r="C231" s="6" t="n">
        <v>464.812</v>
      </c>
      <c r="D231" s="6" t="n">
        <v>546.287</v>
      </c>
      <c r="E231" s="7" t="n">
        <f aca="false">C231/D231*100</f>
        <v>85.0856784071376</v>
      </c>
    </row>
    <row r="232" customFormat="false" ht="15" hidden="false" customHeight="true" outlineLevel="0" collapsed="false">
      <c r="A232" s="5" t="s">
        <v>265</v>
      </c>
      <c r="B232" s="5" t="n">
        <f aca="false">VALUE(LEFT(A232,4))</f>
        <v>2006</v>
      </c>
      <c r="C232" s="6" t="n">
        <v>470.235</v>
      </c>
      <c r="D232" s="6" t="n">
        <v>549.18</v>
      </c>
      <c r="E232" s="7" t="n">
        <f aca="false">C232/D232*100</f>
        <v>85.6249317163772</v>
      </c>
    </row>
    <row r="233" customFormat="false" ht="15" hidden="false" customHeight="true" outlineLevel="0" collapsed="false">
      <c r="A233" s="5" t="s">
        <v>266</v>
      </c>
      <c r="B233" s="5" t="n">
        <f aca="false">VALUE(LEFT(A233,4))</f>
        <v>2007</v>
      </c>
      <c r="C233" s="6" t="n">
        <v>477.307</v>
      </c>
      <c r="D233" s="6" t="n">
        <v>554.937</v>
      </c>
      <c r="E233" s="7" t="n">
        <f aca="false">C233/D233*100</f>
        <v>86.011024674873</v>
      </c>
    </row>
    <row r="234" customFormat="false" ht="15" hidden="false" customHeight="true" outlineLevel="0" collapsed="false">
      <c r="A234" s="5" t="s">
        <v>267</v>
      </c>
      <c r="B234" s="5" t="n">
        <f aca="false">VALUE(LEFT(A234,4))</f>
        <v>2007</v>
      </c>
      <c r="C234" s="6" t="n">
        <v>482.908</v>
      </c>
      <c r="D234" s="6" t="n">
        <v>558.572</v>
      </c>
      <c r="E234" s="7" t="n">
        <f aca="false">C234/D234*100</f>
        <v>86.4540292030392</v>
      </c>
    </row>
    <row r="235" customFormat="false" ht="15" hidden="false" customHeight="true" outlineLevel="0" collapsed="false">
      <c r="A235" s="5" t="s">
        <v>268</v>
      </c>
      <c r="B235" s="5" t="n">
        <f aca="false">VALUE(LEFT(A235,4))</f>
        <v>2007</v>
      </c>
      <c r="C235" s="6" t="n">
        <v>487.478</v>
      </c>
      <c r="D235" s="6" t="n">
        <v>560.465</v>
      </c>
      <c r="E235" s="7" t="n">
        <f aca="false">C235/D235*100</f>
        <v>86.9774205347346</v>
      </c>
    </row>
    <row r="236" customFormat="false" ht="15" hidden="false" customHeight="true" outlineLevel="0" collapsed="false">
      <c r="A236" s="5" t="s">
        <v>269</v>
      </c>
      <c r="B236" s="5" t="n">
        <f aca="false">VALUE(LEFT(A236,4))</f>
        <v>2007</v>
      </c>
      <c r="C236" s="6" t="n">
        <v>491.557</v>
      </c>
      <c r="D236" s="6" t="n">
        <v>560.738</v>
      </c>
      <c r="E236" s="7" t="n">
        <f aca="false">C236/D236*100</f>
        <v>87.6625090505726</v>
      </c>
    </row>
    <row r="237" customFormat="false" ht="15" hidden="false" customHeight="true" outlineLevel="0" collapsed="false">
      <c r="A237" s="5" t="s">
        <v>270</v>
      </c>
      <c r="B237" s="5" t="n">
        <f aca="false">VALUE(LEFT(A237,4))</f>
        <v>2008</v>
      </c>
      <c r="C237" s="6" t="n">
        <v>499.329</v>
      </c>
      <c r="D237" s="6" t="n">
        <v>565.751</v>
      </c>
      <c r="E237" s="7" t="n">
        <f aca="false">C237/D237*100</f>
        <v>88.2594993203724</v>
      </c>
    </row>
    <row r="238" customFormat="false" ht="15" hidden="false" customHeight="true" outlineLevel="0" collapsed="false">
      <c r="A238" s="5" t="s">
        <v>271</v>
      </c>
      <c r="B238" s="5" t="n">
        <f aca="false">VALUE(LEFT(A238,4))</f>
        <v>2008</v>
      </c>
      <c r="C238" s="6" t="n">
        <v>499.166</v>
      </c>
      <c r="D238" s="6" t="n">
        <v>561.496</v>
      </c>
      <c r="E238" s="7" t="n">
        <f aca="false">C238/D238*100</f>
        <v>88.8992975907219</v>
      </c>
    </row>
    <row r="239" customFormat="false" ht="15" hidden="false" customHeight="true" outlineLevel="0" collapsed="false">
      <c r="A239" s="5" t="s">
        <v>272</v>
      </c>
      <c r="B239" s="5" t="n">
        <f aca="false">VALUE(LEFT(A239,4))</f>
        <v>2008</v>
      </c>
      <c r="C239" s="6" t="n">
        <v>498.271</v>
      </c>
      <c r="D239" s="6" t="n">
        <v>560.256</v>
      </c>
      <c r="E239" s="7" t="n">
        <f aca="false">C239/D239*100</f>
        <v>88.9363076879141</v>
      </c>
    </row>
    <row r="240" customFormat="false" ht="15" hidden="false" customHeight="true" outlineLevel="0" collapsed="false">
      <c r="A240" s="5" t="s">
        <v>273</v>
      </c>
      <c r="B240" s="5" t="n">
        <f aca="false">VALUE(LEFT(A240,4))</f>
        <v>2008</v>
      </c>
      <c r="C240" s="6" t="n">
        <v>492.248</v>
      </c>
      <c r="D240" s="6" t="n">
        <v>553.036</v>
      </c>
      <c r="E240" s="7" t="n">
        <f aca="false">C240/D240*100</f>
        <v>89.0083104897331</v>
      </c>
    </row>
    <row r="241" customFormat="false" ht="15" hidden="false" customHeight="true" outlineLevel="0" collapsed="false">
      <c r="A241" s="5" t="s">
        <v>274</v>
      </c>
      <c r="B241" s="5" t="n">
        <f aca="false">VALUE(LEFT(A241,4))</f>
        <v>2009</v>
      </c>
      <c r="C241" s="6" t="n">
        <v>481.62</v>
      </c>
      <c r="D241" s="6" t="n">
        <v>542.521</v>
      </c>
      <c r="E241" s="7" t="n">
        <f aca="false">C241/D241*100</f>
        <v>88.774443754251</v>
      </c>
    </row>
    <row r="242" customFormat="false" ht="15" hidden="false" customHeight="true" outlineLevel="0" collapsed="false">
      <c r="A242" s="5" t="s">
        <v>275</v>
      </c>
      <c r="B242" s="5" t="n">
        <f aca="false">VALUE(LEFT(A242,4))</f>
        <v>2009</v>
      </c>
      <c r="C242" s="6" t="n">
        <v>482.656</v>
      </c>
      <c r="D242" s="6" t="n">
        <v>543.504</v>
      </c>
      <c r="E242" s="7" t="n">
        <f aca="false">C242/D242*100</f>
        <v>88.8044982189643</v>
      </c>
    </row>
    <row r="243" customFormat="false" ht="15" hidden="false" customHeight="true" outlineLevel="0" collapsed="false">
      <c r="A243" s="5" t="s">
        <v>276</v>
      </c>
      <c r="B243" s="5" t="n">
        <f aca="false">VALUE(LEFT(A243,4))</f>
        <v>2009</v>
      </c>
      <c r="C243" s="6" t="n">
        <v>483.645</v>
      </c>
      <c r="D243" s="6" t="n">
        <v>544.757</v>
      </c>
      <c r="E243" s="7" t="n">
        <f aca="false">C243/D243*100</f>
        <v>88.7817871087476</v>
      </c>
    </row>
    <row r="244" customFormat="false" ht="15" hidden="false" customHeight="true" outlineLevel="0" collapsed="false">
      <c r="A244" s="5" t="s">
        <v>277</v>
      </c>
      <c r="B244" s="5" t="n">
        <f aca="false">VALUE(LEFT(A244,4))</f>
        <v>2009</v>
      </c>
      <c r="C244" s="6" t="n">
        <v>489.068</v>
      </c>
      <c r="D244" s="6" t="n">
        <v>548.702</v>
      </c>
      <c r="E244" s="7" t="n">
        <f aca="false">C244/D244*100</f>
        <v>89.1318056066863</v>
      </c>
    </row>
    <row r="245" customFormat="false" ht="15" hidden="false" customHeight="true" outlineLevel="0" collapsed="false">
      <c r="A245" s="5" t="s">
        <v>278</v>
      </c>
      <c r="B245" s="5" t="n">
        <f aca="false">VALUE(LEFT(A245,4))</f>
        <v>2010</v>
      </c>
      <c r="C245" s="6" t="n">
        <v>492.419</v>
      </c>
      <c r="D245" s="6" t="n">
        <v>550.216</v>
      </c>
      <c r="E245" s="7" t="n">
        <f aca="false">C245/D245*100</f>
        <v>89.495579917705</v>
      </c>
    </row>
    <row r="246" customFormat="false" ht="15" hidden="false" customHeight="true" outlineLevel="0" collapsed="false">
      <c r="A246" s="5" t="s">
        <v>279</v>
      </c>
      <c r="B246" s="5" t="n">
        <f aca="false">VALUE(LEFT(A246,4))</f>
        <v>2010</v>
      </c>
      <c r="C246" s="6" t="n">
        <v>497.147</v>
      </c>
      <c r="D246" s="6" t="n">
        <v>552.881</v>
      </c>
      <c r="E246" s="7" t="n">
        <f aca="false">C246/D246*100</f>
        <v>89.919349733487</v>
      </c>
    </row>
    <row r="247" customFormat="false" ht="15" hidden="false" customHeight="true" outlineLevel="0" collapsed="false">
      <c r="A247" s="5" t="s">
        <v>280</v>
      </c>
      <c r="B247" s="5" t="n">
        <f aca="false">VALUE(LEFT(A247,4))</f>
        <v>2010</v>
      </c>
      <c r="C247" s="6" t="n">
        <v>501.594</v>
      </c>
      <c r="D247" s="6" t="n">
        <v>556.637</v>
      </c>
      <c r="E247" s="7" t="n">
        <f aca="false">C247/D247*100</f>
        <v>90.1115089367038</v>
      </c>
    </row>
    <row r="248" customFormat="false" ht="15" hidden="false" customHeight="true" outlineLevel="0" collapsed="false">
      <c r="A248" s="5" t="s">
        <v>281</v>
      </c>
      <c r="B248" s="5" t="n">
        <f aca="false">VALUE(LEFT(A248,4))</f>
        <v>2010</v>
      </c>
      <c r="C248" s="6" t="n">
        <v>502.831</v>
      </c>
      <c r="D248" s="6" t="n">
        <v>559.772</v>
      </c>
      <c r="E248" s="7" t="n">
        <f aca="false">C248/D248*100</f>
        <v>89.827822756408</v>
      </c>
    </row>
    <row r="249" customFormat="false" ht="15" hidden="false" customHeight="true" outlineLevel="0" collapsed="false">
      <c r="A249" s="5" t="s">
        <v>282</v>
      </c>
      <c r="B249" s="5" t="n">
        <f aca="false">VALUE(LEFT(A249,4))</f>
        <v>2011</v>
      </c>
      <c r="C249" s="6" t="n">
        <v>512.741</v>
      </c>
      <c r="D249" s="6" t="n">
        <v>567.169</v>
      </c>
      <c r="E249" s="7" t="n">
        <f aca="false">C249/D249*100</f>
        <v>90.4035657802172</v>
      </c>
    </row>
    <row r="250" customFormat="false" ht="15" hidden="false" customHeight="true" outlineLevel="0" collapsed="false">
      <c r="A250" s="5" t="s">
        <v>283</v>
      </c>
      <c r="B250" s="5" t="n">
        <f aca="false">VALUE(LEFT(A250,4))</f>
        <v>2011</v>
      </c>
      <c r="C250" s="6" t="n">
        <v>513.569</v>
      </c>
      <c r="D250" s="6" t="n">
        <v>567.231</v>
      </c>
      <c r="E250" s="7" t="n">
        <f aca="false">C250/D250*100</f>
        <v>90.5396566830797</v>
      </c>
    </row>
    <row r="251" customFormat="false" ht="15" hidden="false" customHeight="true" outlineLevel="0" collapsed="false">
      <c r="A251" s="5" t="s">
        <v>284</v>
      </c>
      <c r="B251" s="5" t="n">
        <f aca="false">VALUE(LEFT(A251,4))</f>
        <v>2011</v>
      </c>
      <c r="C251" s="6" t="n">
        <v>515.334</v>
      </c>
      <c r="D251" s="6" t="n">
        <v>569.155</v>
      </c>
      <c r="E251" s="7" t="n">
        <f aca="false">C251/D251*100</f>
        <v>90.5437007493565</v>
      </c>
    </row>
    <row r="252" customFormat="false" ht="15" hidden="false" customHeight="true" outlineLevel="0" collapsed="false">
      <c r="A252" s="5" t="s">
        <v>285</v>
      </c>
      <c r="B252" s="5" t="n">
        <f aca="false">VALUE(LEFT(A252,4))</f>
        <v>2011</v>
      </c>
      <c r="C252" s="6" t="n">
        <v>519.333</v>
      </c>
      <c r="D252" s="6" t="n">
        <v>571.045</v>
      </c>
      <c r="E252" s="7" t="n">
        <f aca="false">C252/D252*100</f>
        <v>90.9443213757235</v>
      </c>
    </row>
    <row r="253" customFormat="false" ht="15" hidden="false" customHeight="true" outlineLevel="0" collapsed="false">
      <c r="A253" s="5" t="s">
        <v>286</v>
      </c>
      <c r="B253" s="5" t="n">
        <f aca="false">VALUE(LEFT(A253,4))</f>
        <v>2012</v>
      </c>
      <c r="C253" s="6" t="n">
        <v>520.272</v>
      </c>
      <c r="D253" s="6" t="n">
        <v>570.828</v>
      </c>
      <c r="E253" s="7" t="n">
        <f aca="false">C253/D253*100</f>
        <v>91.1433917046816</v>
      </c>
    </row>
    <row r="254" customFormat="false" ht="15" hidden="false" customHeight="true" outlineLevel="0" collapsed="false">
      <c r="A254" s="5" t="s">
        <v>287</v>
      </c>
      <c r="B254" s="5" t="n">
        <f aca="false">VALUE(LEFT(A254,4))</f>
        <v>2012</v>
      </c>
      <c r="C254" s="6" t="n">
        <v>520.325</v>
      </c>
      <c r="D254" s="6" t="n">
        <v>568.484</v>
      </c>
      <c r="E254" s="7" t="n">
        <f aca="false">C254/D254*100</f>
        <v>91.5285214711408</v>
      </c>
    </row>
    <row r="255" customFormat="false" ht="15" hidden="false" customHeight="true" outlineLevel="0" collapsed="false">
      <c r="A255" s="5" t="s">
        <v>288</v>
      </c>
      <c r="B255" s="5" t="n">
        <f aca="false">VALUE(LEFT(A255,4))</f>
        <v>2012</v>
      </c>
      <c r="C255" s="6" t="n">
        <v>524.075</v>
      </c>
      <c r="D255" s="6" t="n">
        <v>570.407</v>
      </c>
      <c r="E255" s="7" t="n">
        <f aca="false">C255/D255*100</f>
        <v>91.877378783921</v>
      </c>
    </row>
    <row r="256" customFormat="false" ht="15" hidden="false" customHeight="true" outlineLevel="0" collapsed="false">
      <c r="A256" s="5" t="s">
        <v>289</v>
      </c>
      <c r="B256" s="5" t="n">
        <f aca="false">VALUE(LEFT(A256,4))</f>
        <v>2012</v>
      </c>
      <c r="C256" s="6" t="n">
        <v>523.288</v>
      </c>
      <c r="D256" s="6" t="n">
        <v>570.057</v>
      </c>
      <c r="E256" s="7" t="n">
        <f aca="false">C256/D256*100</f>
        <v>91.795732707431</v>
      </c>
    </row>
    <row r="257" customFormat="false" ht="15" hidden="false" customHeight="true" outlineLevel="0" collapsed="false">
      <c r="A257" s="5" t="s">
        <v>290</v>
      </c>
      <c r="B257" s="5" t="n">
        <f aca="false">VALUE(LEFT(A257,4))</f>
        <v>2013</v>
      </c>
      <c r="C257" s="6" t="n">
        <v>526.713</v>
      </c>
      <c r="D257" s="6" t="n">
        <v>571.15</v>
      </c>
      <c r="E257" s="7" t="n">
        <f aca="false">C257/D257*100</f>
        <v>92.2197321194082</v>
      </c>
    </row>
    <row r="258" customFormat="false" ht="15" hidden="false" customHeight="true" outlineLevel="0" collapsed="false">
      <c r="A258" s="5" t="s">
        <v>291</v>
      </c>
      <c r="B258" s="5" t="n">
        <f aca="false">VALUE(LEFT(A258,4))</f>
        <v>2013</v>
      </c>
      <c r="C258" s="6" t="n">
        <v>532.617</v>
      </c>
      <c r="D258" s="6" t="n">
        <v>576.231</v>
      </c>
      <c r="E258" s="7" t="n">
        <f aca="false">C258/D258*100</f>
        <v>92.4311604200399</v>
      </c>
    </row>
    <row r="259" customFormat="false" ht="15" hidden="false" customHeight="true" outlineLevel="0" collapsed="false">
      <c r="A259" s="5" t="s">
        <v>292</v>
      </c>
      <c r="B259" s="5" t="n">
        <f aca="false">VALUE(LEFT(A259,4))</f>
        <v>2013</v>
      </c>
      <c r="C259" s="6" t="n">
        <v>530.899</v>
      </c>
      <c r="D259" s="6" t="n">
        <v>575.056</v>
      </c>
      <c r="E259" s="7" t="n">
        <f aca="false">C259/D259*100</f>
        <v>92.3212695807017</v>
      </c>
    </row>
    <row r="260" customFormat="false" ht="15" hidden="false" customHeight="true" outlineLevel="0" collapsed="false">
      <c r="A260" s="5" t="s">
        <v>293</v>
      </c>
      <c r="B260" s="5" t="n">
        <f aca="false">VALUE(LEFT(A260,4))</f>
        <v>2013</v>
      </c>
      <c r="C260" s="6" t="n">
        <v>532.929</v>
      </c>
      <c r="D260" s="6" t="n">
        <v>578.555</v>
      </c>
      <c r="E260" s="7" t="n">
        <f aca="false">C260/D260*100</f>
        <v>92.1138007622439</v>
      </c>
    </row>
    <row r="261" customFormat="false" ht="15" hidden="false" customHeight="true" outlineLevel="0" collapsed="false">
      <c r="A261" s="5" t="s">
        <v>294</v>
      </c>
      <c r="B261" s="5" t="n">
        <f aca="false">VALUE(LEFT(A261,4))</f>
        <v>2014</v>
      </c>
      <c r="C261" s="6" t="n">
        <v>535.034</v>
      </c>
      <c r="D261" s="6" t="n">
        <v>578.454</v>
      </c>
      <c r="E261" s="7" t="n">
        <f aca="false">C261/D261*100</f>
        <v>92.4937851583704</v>
      </c>
    </row>
    <row r="262" customFormat="false" ht="15" hidden="false" customHeight="true" outlineLevel="0" collapsed="false">
      <c r="A262" s="5" t="s">
        <v>295</v>
      </c>
      <c r="B262" s="5" t="n">
        <f aca="false">VALUE(LEFT(A262,4))</f>
        <v>2014</v>
      </c>
      <c r="C262" s="6" t="n">
        <v>537.376</v>
      </c>
      <c r="D262" s="6" t="n">
        <v>579.779</v>
      </c>
      <c r="E262" s="7" t="n">
        <f aca="false">C262/D262*100</f>
        <v>92.6863511786387</v>
      </c>
    </row>
    <row r="263" customFormat="false" ht="15" hidden="false" customHeight="true" outlineLevel="0" collapsed="false">
      <c r="A263" s="5" t="s">
        <v>296</v>
      </c>
      <c r="B263" s="5" t="n">
        <f aca="false">VALUE(LEFT(A263,4))</f>
        <v>2014</v>
      </c>
      <c r="C263" s="6" t="n">
        <v>541.976</v>
      </c>
      <c r="D263" s="6" t="n">
        <v>583.71</v>
      </c>
      <c r="E263" s="7" t="n">
        <f aca="false">C263/D263*100</f>
        <v>92.8502167172055</v>
      </c>
    </row>
    <row r="264" customFormat="false" ht="15" hidden="false" customHeight="true" outlineLevel="0" collapsed="false">
      <c r="A264" s="5" t="s">
        <v>297</v>
      </c>
      <c r="B264" s="5" t="n">
        <f aca="false">VALUE(LEFT(A264,4))</f>
        <v>2014</v>
      </c>
      <c r="C264" s="6" t="n">
        <v>542.12</v>
      </c>
      <c r="D264" s="6" t="n">
        <v>582.006</v>
      </c>
      <c r="E264" s="7" t="n">
        <f aca="false">C264/D264*100</f>
        <v>93.1468060466731</v>
      </c>
    </row>
    <row r="265" customFormat="false" ht="15" hidden="false" customHeight="true" outlineLevel="0" collapsed="false">
      <c r="A265" s="5" t="s">
        <v>298</v>
      </c>
      <c r="B265" s="5" t="n">
        <f aca="false">VALUE(LEFT(A265,4))</f>
        <v>2015</v>
      </c>
      <c r="C265" s="6" t="n">
        <v>546.485</v>
      </c>
      <c r="D265" s="6" t="n">
        <v>585.313</v>
      </c>
      <c r="E265" s="7" t="n">
        <f aca="false">C265/D265*100</f>
        <v>93.3662843640924</v>
      </c>
    </row>
    <row r="266" customFormat="false" ht="15" hidden="false" customHeight="true" outlineLevel="0" collapsed="false">
      <c r="A266" s="5" t="s">
        <v>299</v>
      </c>
      <c r="B266" s="5" t="n">
        <f aca="false">VALUE(LEFT(A266,4))</f>
        <v>2015</v>
      </c>
      <c r="C266" s="6" t="n">
        <v>548.386</v>
      </c>
      <c r="D266" s="6" t="n">
        <v>585.537</v>
      </c>
      <c r="E266" s="7" t="n">
        <f aca="false">C266/D266*100</f>
        <v>93.6552258866647</v>
      </c>
    </row>
    <row r="267" customFormat="false" ht="15" hidden="false" customHeight="true" outlineLevel="0" collapsed="false">
      <c r="A267" s="5" t="s">
        <v>300</v>
      </c>
      <c r="B267" s="5" t="n">
        <f aca="false">VALUE(LEFT(A267,4))</f>
        <v>2015</v>
      </c>
      <c r="C267" s="6" t="n">
        <v>552.79</v>
      </c>
      <c r="D267" s="6" t="n">
        <v>587.324</v>
      </c>
      <c r="E267" s="7" t="n">
        <f aca="false">C267/D267*100</f>
        <v>94.1201108757687</v>
      </c>
    </row>
    <row r="268" customFormat="false" ht="15" hidden="false" customHeight="true" outlineLevel="0" collapsed="false">
      <c r="A268" s="5" t="s">
        <v>301</v>
      </c>
      <c r="B268" s="5" t="n">
        <f aca="false">VALUE(LEFT(A268,4))</f>
        <v>2015</v>
      </c>
      <c r="C268" s="6" t="n">
        <v>555.113</v>
      </c>
      <c r="D268" s="6" t="n">
        <v>588.961</v>
      </c>
      <c r="E268" s="7" t="n">
        <f aca="false">C268/D268*100</f>
        <v>94.2529301600615</v>
      </c>
    </row>
    <row r="269" customFormat="false" ht="15" hidden="false" customHeight="true" outlineLevel="0" collapsed="false">
      <c r="A269" s="5" t="s">
        <v>302</v>
      </c>
      <c r="B269" s="5" t="n">
        <f aca="false">VALUE(LEFT(A269,4))</f>
        <v>2016</v>
      </c>
      <c r="C269" s="6" t="n">
        <v>557.558</v>
      </c>
      <c r="D269" s="6" t="n">
        <v>590.784</v>
      </c>
      <c r="E269" s="7" t="n">
        <f aca="false">C269/D269*100</f>
        <v>94.3759478929694</v>
      </c>
    </row>
    <row r="270" customFormat="false" ht="15" hidden="false" customHeight="true" outlineLevel="0" collapsed="false">
      <c r="A270" s="5" t="s">
        <v>303</v>
      </c>
      <c r="B270" s="5" t="n">
        <f aca="false">VALUE(LEFT(A270,4))</f>
        <v>2016</v>
      </c>
      <c r="C270" s="6" t="n">
        <v>555.051</v>
      </c>
      <c r="D270" s="6" t="n">
        <v>589.245</v>
      </c>
      <c r="E270" s="7" t="n">
        <f aca="false">C270/D270*100</f>
        <v>94.1969808823155</v>
      </c>
    </row>
    <row r="271" customFormat="false" ht="15" hidden="false" customHeight="true" outlineLevel="0" collapsed="false">
      <c r="A271" s="5" t="s">
        <v>304</v>
      </c>
      <c r="B271" s="5" t="n">
        <f aca="false">VALUE(LEFT(A271,4))</f>
        <v>2016</v>
      </c>
      <c r="C271" s="6" t="n">
        <v>557.291</v>
      </c>
      <c r="D271" s="6" t="n">
        <v>590.316</v>
      </c>
      <c r="E271" s="7" t="n">
        <f aca="false">C271/D271*100</f>
        <v>94.4055387284099</v>
      </c>
    </row>
    <row r="272" customFormat="false" ht="15" hidden="false" customHeight="true" outlineLevel="0" collapsed="false">
      <c r="A272" s="5" t="s">
        <v>305</v>
      </c>
      <c r="B272" s="5" t="n">
        <f aca="false">VALUE(LEFT(A272,4))</f>
        <v>2016</v>
      </c>
      <c r="C272" s="6" t="n">
        <v>560.72</v>
      </c>
      <c r="D272" s="6" t="n">
        <v>594.101</v>
      </c>
      <c r="E272" s="7" t="n">
        <f aca="false">C272/D272*100</f>
        <v>94.3812584055573</v>
      </c>
    </row>
    <row r="273" customFormat="false" ht="15" hidden="false" customHeight="true" outlineLevel="0" collapsed="false">
      <c r="A273" s="5" t="s">
        <v>306</v>
      </c>
      <c r="B273" s="5" t="n">
        <f aca="false">VALUE(LEFT(A273,4))</f>
        <v>2017</v>
      </c>
      <c r="C273" s="6" t="n">
        <v>566.05</v>
      </c>
      <c r="D273" s="6" t="n">
        <v>598.038</v>
      </c>
      <c r="E273" s="7" t="n">
        <f aca="false">C273/D273*100</f>
        <v>94.6511760122266</v>
      </c>
    </row>
    <row r="274" customFormat="false" ht="15" hidden="false" customHeight="true" outlineLevel="0" collapsed="false">
      <c r="A274" s="5" t="s">
        <v>307</v>
      </c>
      <c r="B274" s="5" t="n">
        <f aca="false">VALUE(LEFT(A274,4))</f>
        <v>2017</v>
      </c>
      <c r="C274" s="6" t="n">
        <v>571.83</v>
      </c>
      <c r="D274" s="6" t="n">
        <v>602.473</v>
      </c>
      <c r="E274" s="7" t="n">
        <f aca="false">C274/D274*100</f>
        <v>94.913796966835</v>
      </c>
    </row>
    <row r="275" customFormat="false" ht="15" hidden="false" customHeight="true" outlineLevel="0" collapsed="false">
      <c r="A275" s="5" t="s">
        <v>308</v>
      </c>
      <c r="B275" s="5" t="n">
        <f aca="false">VALUE(LEFT(A275,4))</f>
        <v>2017</v>
      </c>
      <c r="C275" s="6" t="n">
        <v>575.891</v>
      </c>
      <c r="D275" s="6" t="n">
        <v>606.973</v>
      </c>
      <c r="E275" s="7" t="n">
        <f aca="false">C275/D275*100</f>
        <v>94.8791791397641</v>
      </c>
    </row>
    <row r="276" customFormat="false" ht="15" hidden="false" customHeight="true" outlineLevel="0" collapsed="false">
      <c r="A276" s="5" t="s">
        <v>309</v>
      </c>
      <c r="B276" s="5" t="n">
        <f aca="false">VALUE(LEFT(A276,4))</f>
        <v>2017</v>
      </c>
      <c r="C276" s="6" t="n">
        <v>580.709</v>
      </c>
      <c r="D276" s="6" t="n">
        <v>610.62</v>
      </c>
      <c r="E276" s="7" t="n">
        <f aca="false">C276/D276*100</f>
        <v>95.1015361435917</v>
      </c>
    </row>
    <row r="277" customFormat="false" ht="15" hidden="false" customHeight="true" outlineLevel="0" collapsed="false">
      <c r="A277" s="5" t="s">
        <v>310</v>
      </c>
      <c r="B277" s="5" t="n">
        <f aca="false">VALUE(LEFT(A277,4))</f>
        <v>2018</v>
      </c>
      <c r="C277" s="6" t="n">
        <v>582.8</v>
      </c>
      <c r="D277" s="6" t="n">
        <v>610.272</v>
      </c>
      <c r="E277" s="7" t="n">
        <f aca="false">C277/D277*100</f>
        <v>95.4984007131246</v>
      </c>
    </row>
    <row r="278" customFormat="false" ht="15" hidden="false" customHeight="true" outlineLevel="0" collapsed="false">
      <c r="A278" s="5" t="s">
        <v>311</v>
      </c>
      <c r="B278" s="5" t="n">
        <f aca="false">VALUE(LEFT(A278,4))</f>
        <v>2018</v>
      </c>
      <c r="C278" s="6" t="n">
        <v>585.193</v>
      </c>
      <c r="D278" s="6" t="n">
        <v>611.7</v>
      </c>
      <c r="E278" s="7" t="n">
        <f aca="false">C278/D278*100</f>
        <v>95.6666666666667</v>
      </c>
    </row>
    <row r="279" customFormat="false" ht="15" hidden="false" customHeight="true" outlineLevel="0" collapsed="false">
      <c r="A279" s="5" t="s">
        <v>312</v>
      </c>
      <c r="B279" s="5" t="n">
        <f aca="false">VALUE(LEFT(A279,4))</f>
        <v>2018</v>
      </c>
      <c r="C279" s="6" t="n">
        <v>591.51</v>
      </c>
      <c r="D279" s="6" t="n">
        <v>615.025</v>
      </c>
      <c r="E279" s="7" t="n">
        <f aca="false">C279/D279*100</f>
        <v>96.1765781878786</v>
      </c>
    </row>
    <row r="280" customFormat="false" ht="15" hidden="false" customHeight="true" outlineLevel="0" collapsed="false">
      <c r="A280" s="5" t="s">
        <v>313</v>
      </c>
      <c r="B280" s="5" t="n">
        <f aca="false">VALUE(LEFT(A280,4))</f>
        <v>2018</v>
      </c>
      <c r="C280" s="6" t="n">
        <v>597.328</v>
      </c>
      <c r="D280" s="6" t="n">
        <v>619.428</v>
      </c>
      <c r="E280" s="7" t="n">
        <f aca="false">C280/D280*100</f>
        <v>96.4321922806202</v>
      </c>
    </row>
    <row r="281" customFormat="false" ht="15" hidden="false" customHeight="true" outlineLevel="0" collapsed="false">
      <c r="A281" s="5" t="s">
        <v>314</v>
      </c>
      <c r="B281" s="5" t="n">
        <f aca="false">VALUE(LEFT(A281,4))</f>
        <v>2019</v>
      </c>
      <c r="C281" s="6" t="n">
        <v>604.483</v>
      </c>
      <c r="D281" s="6" t="n">
        <v>625.312</v>
      </c>
      <c r="E281" s="7" t="n">
        <f aca="false">C281/D281*100</f>
        <v>96.6690228238063</v>
      </c>
    </row>
    <row r="282" customFormat="false" ht="15" hidden="false" customHeight="true" outlineLevel="0" collapsed="false">
      <c r="A282" s="5" t="s">
        <v>315</v>
      </c>
      <c r="B282" s="5" t="n">
        <f aca="false">VALUE(LEFT(A282,4))</f>
        <v>2019</v>
      </c>
      <c r="C282" s="6" t="n">
        <v>609.243</v>
      </c>
      <c r="D282" s="6" t="n">
        <v>628.476</v>
      </c>
      <c r="E282" s="7" t="n">
        <f aca="false">C282/D282*100</f>
        <v>96.9397399423367</v>
      </c>
    </row>
    <row r="283" customFormat="false" ht="15" hidden="false" customHeight="true" outlineLevel="0" collapsed="false">
      <c r="A283" s="5" t="s">
        <v>316</v>
      </c>
      <c r="B283" s="5" t="n">
        <f aca="false">VALUE(LEFT(A283,4))</f>
        <v>2019</v>
      </c>
      <c r="C283" s="6" t="n">
        <v>611.592</v>
      </c>
      <c r="D283" s="6" t="n">
        <v>628.723</v>
      </c>
      <c r="E283" s="7" t="n">
        <f aca="false">C283/D283*100</f>
        <v>97.2752706676867</v>
      </c>
    </row>
    <row r="284" customFormat="false" ht="15" hidden="false" customHeight="true" outlineLevel="0" collapsed="false">
      <c r="A284" s="5" t="s">
        <v>317</v>
      </c>
      <c r="B284" s="5" t="n">
        <f aca="false">VALUE(LEFT(A284,4))</f>
        <v>2019</v>
      </c>
      <c r="C284" s="6" t="n">
        <v>610.175</v>
      </c>
      <c r="D284" s="6" t="n">
        <v>625.545</v>
      </c>
      <c r="E284" s="7" t="n">
        <f aca="false">C284/D284*100</f>
        <v>97.5429425540928</v>
      </c>
    </row>
    <row r="285" customFormat="false" ht="15" hidden="false" customHeight="true" outlineLevel="0" collapsed="false">
      <c r="A285" s="5" t="s">
        <v>318</v>
      </c>
      <c r="B285" s="5" t="n">
        <f aca="false">VALUE(LEFT(A285,4))</f>
        <v>2020</v>
      </c>
      <c r="C285" s="6" t="n">
        <v>588.189</v>
      </c>
      <c r="D285" s="6" t="n">
        <v>594.327</v>
      </c>
      <c r="E285" s="7" t="n">
        <f aca="false">C285/D285*100</f>
        <v>98.9672352089002</v>
      </c>
    </row>
    <row r="286" customFormat="false" ht="15" hidden="false" customHeight="true" outlineLevel="0" collapsed="false">
      <c r="A286" s="5" t="s">
        <v>319</v>
      </c>
      <c r="B286" s="5" t="n">
        <f aca="false">VALUE(LEFT(A286,4))</f>
        <v>2020</v>
      </c>
      <c r="C286" s="6" t="n">
        <v>532.491</v>
      </c>
      <c r="D286" s="6" t="n">
        <v>521.639</v>
      </c>
      <c r="E286" s="7" t="n">
        <f aca="false">C286/D286*100</f>
        <v>102.08036592356</v>
      </c>
    </row>
    <row r="287" customFormat="false" ht="15" hidden="false" customHeight="true" outlineLevel="0" collapsed="false">
      <c r="A287" s="5" t="s">
        <v>320</v>
      </c>
      <c r="B287" s="5" t="n">
        <f aca="false">VALUE(LEFT(A287,4))</f>
        <v>2020</v>
      </c>
      <c r="C287" s="6" t="n">
        <v>595.798</v>
      </c>
      <c r="D287" s="6" t="n">
        <v>600.678</v>
      </c>
      <c r="E287" s="7" t="n">
        <f aca="false">C287/D287*100</f>
        <v>99.1875846959602</v>
      </c>
    </row>
    <row r="288" customFormat="false" ht="15" hidden="false" customHeight="true" outlineLevel="0" collapsed="false">
      <c r="A288" s="5" t="s">
        <v>321</v>
      </c>
      <c r="B288" s="5" t="n">
        <f aca="false">VALUE(LEFT(A288,4))</f>
        <v>2020</v>
      </c>
      <c r="C288" s="6" t="n">
        <v>600.838</v>
      </c>
      <c r="D288" s="6" t="n">
        <v>600.623</v>
      </c>
      <c r="E288" s="7" t="n">
        <f aca="false">C288/D288*100</f>
        <v>100.035796164982</v>
      </c>
    </row>
    <row r="289" customFormat="false" ht="15" hidden="false" customHeight="true" outlineLevel="0" collapsed="false">
      <c r="A289" s="5" t="s">
        <v>322</v>
      </c>
      <c r="B289" s="5" t="n">
        <f aca="false">VALUE(LEFT(A289,4))</f>
        <v>2021</v>
      </c>
      <c r="C289" s="6" t="n">
        <v>606.659</v>
      </c>
      <c r="D289" s="6" t="n">
        <v>603.317</v>
      </c>
      <c r="E289" s="7" t="n">
        <f aca="false">C289/D289*100</f>
        <v>100.553937648036</v>
      </c>
    </row>
    <row r="290" customFormat="false" ht="15" hidden="false" customHeight="true" outlineLevel="0" collapsed="false">
      <c r="A290" s="5" t="s">
        <v>323</v>
      </c>
      <c r="B290" s="5" t="n">
        <f aca="false">VALUE(LEFT(A290,4))</f>
        <v>2021</v>
      </c>
      <c r="C290" s="6" t="n">
        <v>617.734</v>
      </c>
      <c r="D290" s="6" t="n">
        <v>610.572</v>
      </c>
      <c r="E290" s="7" t="n">
        <f aca="false">C290/D290*100</f>
        <v>101.172998434255</v>
      </c>
    </row>
    <row r="291" customFormat="false" ht="15" hidden="false" customHeight="true" outlineLevel="0" collapsed="false">
      <c r="A291" s="5" t="s">
        <v>324</v>
      </c>
      <c r="B291" s="5" t="n">
        <f aca="false">VALUE(LEFT(A291,4))</f>
        <v>2021</v>
      </c>
      <c r="C291" s="6" t="n">
        <v>637.381</v>
      </c>
      <c r="D291" s="6" t="n">
        <v>628.754</v>
      </c>
      <c r="E291" s="7" t="n">
        <f aca="false">C291/D291*100</f>
        <v>101.372078746219</v>
      </c>
    </row>
    <row r="292" customFormat="false" ht="15" hidden="false" customHeight="true" outlineLevel="0" collapsed="false">
      <c r="A292" s="5" t="s">
        <v>325</v>
      </c>
      <c r="B292" s="5" t="n">
        <f aca="false">VALUE(LEFT(A292,4))</f>
        <v>2021</v>
      </c>
      <c r="C292" s="6" t="n">
        <v>642.952</v>
      </c>
      <c r="D292" s="6" t="n">
        <v>631.961</v>
      </c>
      <c r="E292" s="7" t="n">
        <f aca="false">C292/D292*100</f>
        <v>101.73918960189</v>
      </c>
    </row>
    <row r="293" customFormat="false" ht="15" hidden="false" customHeight="true" outlineLevel="0" collapsed="false">
      <c r="A293" s="5" t="s">
        <v>326</v>
      </c>
      <c r="B293" s="5" t="n">
        <f aca="false">VALUE(LEFT(A293,4))</f>
        <v>2022</v>
      </c>
      <c r="C293" s="6" t="n">
        <v>649.106</v>
      </c>
      <c r="D293" s="6" t="n">
        <v>631.873</v>
      </c>
      <c r="E293" s="7" t="n">
        <f aca="false">C293/D293*100</f>
        <v>102.727288553238</v>
      </c>
    </row>
    <row r="294" customFormat="false" ht="15" hidden="false" customHeight="true" outlineLevel="0" collapsed="false">
      <c r="A294" s="5" t="s">
        <v>327</v>
      </c>
      <c r="B294" s="5" t="n">
        <f aca="false">VALUE(LEFT(A294,4))</f>
        <v>2022</v>
      </c>
      <c r="C294" s="6" t="n">
        <v>655.83</v>
      </c>
      <c r="D294" s="6" t="n">
        <v>634.341</v>
      </c>
      <c r="E294" s="7" t="n">
        <f aca="false">C294/D294*100</f>
        <v>103.387610133982</v>
      </c>
    </row>
    <row r="295" customFormat="false" ht="15" hidden="false" customHeight="true" outlineLevel="0" collapsed="false">
      <c r="A295" s="5" t="s">
        <v>328</v>
      </c>
      <c r="B295" s="5" t="n">
        <f aca="false">VALUE(LEFT(A295,4))</f>
        <v>2022</v>
      </c>
      <c r="C295" s="6" t="n">
        <v>667.928</v>
      </c>
      <c r="D295" s="6" t="n">
        <v>637.564</v>
      </c>
      <c r="E295" s="7" t="n">
        <f aca="false">C295/D295*100</f>
        <v>104.762502274282</v>
      </c>
    </row>
    <row r="296" customFormat="false" ht="15" hidden="false" customHeight="true" outlineLevel="0" collapsed="false">
      <c r="A296" s="5" t="s">
        <v>329</v>
      </c>
      <c r="B296" s="5" t="n">
        <f aca="false">VALUE(LEFT(A296,4))</f>
        <v>2022</v>
      </c>
      <c r="C296" s="6" t="n">
        <v>679.68</v>
      </c>
      <c r="D296" s="6" t="n">
        <v>640.113</v>
      </c>
      <c r="E296" s="7" t="n">
        <f aca="false">C296/D296*100</f>
        <v>106.181252372628</v>
      </c>
    </row>
    <row r="297" customFormat="false" ht="15" hidden="false" customHeight="true" outlineLevel="0" collapsed="false">
      <c r="A297" s="5" t="s">
        <v>330</v>
      </c>
      <c r="B297" s="5" t="n">
        <f aca="false">VALUE(LEFT(A297,4))</f>
        <v>2023</v>
      </c>
      <c r="C297" s="6" t="n">
        <v>691.451</v>
      </c>
      <c r="D297" s="6" t="n">
        <v>641.012</v>
      </c>
      <c r="E297" s="7" t="n">
        <f aca="false">C297/D297*100</f>
        <v>107.868651444903</v>
      </c>
    </row>
    <row r="298" customFormat="false" ht="15" hidden="false" customHeight="true" outlineLevel="0" collapsed="false">
      <c r="A298" s="5" t="s">
        <v>331</v>
      </c>
      <c r="B298" s="5" t="n">
        <f aca="false">VALUE(LEFT(A298,4))</f>
        <v>2023</v>
      </c>
      <c r="C298" s="6" t="n">
        <v>708.115</v>
      </c>
      <c r="D298" s="6" t="n">
        <v>647.076</v>
      </c>
      <c r="E298" s="7" t="n">
        <f aca="false">C298/D298*100</f>
        <v>109.433049595411</v>
      </c>
    </row>
    <row r="299" customFormat="false" ht="15" hidden="false" customHeight="true" outlineLevel="0" collapsed="false">
      <c r="A299" s="5" t="s">
        <v>332</v>
      </c>
      <c r="B299" s="5" t="n">
        <f aca="false">VALUE(LEFT(A299,4))</f>
        <v>2023</v>
      </c>
      <c r="C299" s="6" t="n">
        <v>714.02</v>
      </c>
      <c r="D299" s="6" t="n">
        <v>649.412</v>
      </c>
      <c r="E299" s="7" t="n">
        <f aca="false">C299/D299*100</f>
        <v>109.948692047575</v>
      </c>
    </row>
    <row r="300" customFormat="false" ht="15" hidden="false" customHeight="true" outlineLevel="0" collapsed="false">
      <c r="A300" s="5" t="s">
        <v>333</v>
      </c>
      <c r="B300" s="5" t="n">
        <f aca="false">VALUE(LEFT(A300,4))</f>
        <v>2023</v>
      </c>
      <c r="C300" s="6" t="n">
        <v>724.085</v>
      </c>
      <c r="D300" s="6" t="n">
        <v>652.665</v>
      </c>
      <c r="E300" s="7" t="n">
        <f aca="false">C300/D300*100</f>
        <v>110.942826718148</v>
      </c>
    </row>
    <row r="301" customFormat="false" ht="15" hidden="false" customHeight="true" outlineLevel="0" collapsed="false">
      <c r="A301" s="5" t="s">
        <v>334</v>
      </c>
      <c r="B301" s="5" t="n">
        <f aca="false">VALUE(LEFT(A301,4))</f>
        <v>2024</v>
      </c>
      <c r="C301" s="6" t="n">
        <v>728.517</v>
      </c>
      <c r="D301" s="6" t="n">
        <v>654.236</v>
      </c>
      <c r="E301" s="7" t="n">
        <f aca="false">C301/D301*100</f>
        <v>111.353853960956</v>
      </c>
    </row>
    <row r="302" customFormat="false" ht="15" hidden="false" customHeight="true" outlineLevel="0" collapsed="false">
      <c r="A302" s="5" t="s">
        <v>335</v>
      </c>
      <c r="B302" s="5" t="n">
        <f aca="false">VALUE(LEFT(A302,4))</f>
        <v>2024</v>
      </c>
      <c r="C302" s="6" t="n">
        <v>729.686</v>
      </c>
      <c r="D302" s="6" t="n">
        <v>655.894</v>
      </c>
      <c r="E302" s="7" t="n">
        <f aca="false">C302/D302*100</f>
        <v>111.250598419867</v>
      </c>
    </row>
    <row r="303" customFormat="false" ht="15" hidden="false" customHeight="true" outlineLevel="0" collapsed="false">
      <c r="A303" s="5" t="s">
        <v>336</v>
      </c>
      <c r="B303" s="5" t="n">
        <f aca="false">VALUE(LEFT(A303,4))</f>
        <v>2024</v>
      </c>
      <c r="C303" s="6" t="n">
        <v>739.363</v>
      </c>
      <c r="D303" s="6" t="n">
        <v>658.584</v>
      </c>
      <c r="E303" s="7" t="n">
        <f aca="false">C303/D303*100</f>
        <v>112.265557620592</v>
      </c>
    </row>
    <row r="304" customFormat="false" ht="15" hidden="false" customHeight="true" outlineLevel="0" collapsed="false">
      <c r="A304" s="5" t="s">
        <v>337</v>
      </c>
      <c r="B304" s="5" t="n">
        <f aca="false">VALUE(LEFT(A304,4))</f>
        <v>2024</v>
      </c>
      <c r="C304" s="6" t="n">
        <v>739.296</v>
      </c>
      <c r="D304" s="6" t="n">
        <v>658.396</v>
      </c>
      <c r="E304" s="7" t="n">
        <f aca="false">C304/D304*100</f>
        <v>112.287437955273</v>
      </c>
    </row>
    <row r="305" customFormat="false" ht="15" hidden="false" customHeight="true" outlineLevel="0" collapsed="false">
      <c r="A305" s="5" t="s">
        <v>338</v>
      </c>
      <c r="B305" s="5" t="n">
        <f aca="false">VALUE(LEFT(A305,4))</f>
        <v>2025</v>
      </c>
      <c r="C305" s="6" t="n">
        <v>743.4</v>
      </c>
      <c r="D305" s="6" t="n">
        <v>659.47</v>
      </c>
      <c r="E305" s="7" t="n">
        <f aca="false">C305/D305*100</f>
        <v>112.726886742384</v>
      </c>
    </row>
    <row r="306" customFormat="false" ht="15" hidden="false" customHeight="true" outlineLevel="0" collapsed="false">
      <c r="A306" s="5" t="s">
        <v>339</v>
      </c>
      <c r="B306" s="5" t="n">
        <f aca="false">VALUE(LEFT(A306,4))</f>
        <v>2025</v>
      </c>
      <c r="C306" s="6" t="n">
        <v>745.214</v>
      </c>
      <c r="D306" s="6" t="n">
        <v>661.119</v>
      </c>
      <c r="E306" s="7" t="n">
        <f aca="false">C306/D306*100</f>
        <v>112.720100314769</v>
      </c>
    </row>
    <row r="307" customFormat="false" ht="15" hidden="false" customHeight="true" outlineLevel="0" collapsed="false">
      <c r="A307" s="5" t="s">
        <v>340</v>
      </c>
      <c r="B307" s="5" t="n">
        <f aca="false">VALUE(LEFT(A307,4))</f>
        <v>2025</v>
      </c>
      <c r="C307" s="6" t="n">
        <v>750.755</v>
      </c>
      <c r="D307" s="6" t="n">
        <v>664.023</v>
      </c>
      <c r="E307" s="7" t="n">
        <f aca="false">C307/D307*100</f>
        <v>113.061595757978</v>
      </c>
    </row>
    <row r="308" customFormat="false" ht="15" hidden="false" customHeight="true" outlineLevel="0" collapsed="false">
      <c r="A308" s="5" t="s">
        <v>341</v>
      </c>
      <c r="B308" s="5" t="n">
        <f aca="false">VALUE(LEFT(A308,4))</f>
        <v>2025</v>
      </c>
      <c r="C308" s="6" t="n">
        <v>755.823</v>
      </c>
      <c r="D308" s="6" t="n">
        <v>665.829</v>
      </c>
      <c r="E308" s="7" t="n">
        <f aca="false">C308/D308*100</f>
        <v>113.516082958237</v>
      </c>
    </row>
    <row r="309" customFormat="false" ht="15" hidden="false" customHeight="true" outlineLevel="0" collapsed="false">
      <c r="A309" s="5" t="s">
        <v>342</v>
      </c>
      <c r="B309" s="5" t="n">
        <f aca="false">VALUE(LEFT(A309,4))</f>
        <v>2026</v>
      </c>
      <c r="C309" s="6" t="n">
        <v>756.905</v>
      </c>
      <c r="D309" s="6" t="n">
        <v>664.856</v>
      </c>
      <c r="E309" s="7" t="n">
        <f aca="false">C309/D309*100</f>
        <v>113.844952892055</v>
      </c>
    </row>
    <row r="310" customFormat="false" ht="15" hidden="false" customHeight="true" outlineLevel="0" collapsed="false">
      <c r="A310" s="5" t="s">
        <v>11</v>
      </c>
      <c r="B310" s="5" t="n">
        <f aca="false">VALUE(LEFT(A310,4))</f>
        <v>2026</v>
      </c>
      <c r="C310" s="6" t="n">
        <v>760.179</v>
      </c>
      <c r="D310" s="6" t="n">
        <v>665.948</v>
      </c>
      <c r="E310" s="7" t="n">
        <f aca="false">C310/D310*100</f>
        <v>114.149903596077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30"/>
  </cols>
  <sheetData>
    <row r="1" customFormat="false" ht="15" hidden="false" customHeight="true" outlineLevel="0" collapsed="false">
      <c r="A1" s="4" t="s">
        <v>30</v>
      </c>
      <c r="B1" s="4" t="s">
        <v>31</v>
      </c>
      <c r="C1" s="4" t="s">
        <v>343</v>
      </c>
      <c r="D1" s="4" t="s">
        <v>344</v>
      </c>
    </row>
    <row r="2" customFormat="false" ht="15" hidden="false" customHeight="true" outlineLevel="0" collapsed="false">
      <c r="A2" s="5" t="s">
        <v>35</v>
      </c>
      <c r="B2" s="5" t="n">
        <f aca="false">VALUE(LEFT(A2,4))</f>
        <v>1949</v>
      </c>
      <c r="C2" s="8" t="n">
        <v>0.0090174309</v>
      </c>
      <c r="D2" s="8"/>
    </row>
    <row r="3" customFormat="false" ht="15" hidden="false" customHeight="true" outlineLevel="0" collapsed="false">
      <c r="A3" s="5" t="s">
        <v>36</v>
      </c>
      <c r="B3" s="5" t="n">
        <f aca="false">VALUE(LEFT(A3,4))</f>
        <v>1949</v>
      </c>
      <c r="C3" s="8" t="n">
        <v>0.0149784962</v>
      </c>
      <c r="D3" s="8"/>
    </row>
    <row r="4" customFormat="false" ht="15" hidden="false" customHeight="true" outlineLevel="0" collapsed="false">
      <c r="A4" s="5" t="s">
        <v>37</v>
      </c>
      <c r="B4" s="5" t="n">
        <f aca="false">VALUE(LEFT(A4,4))</f>
        <v>1949</v>
      </c>
      <c r="C4" s="8" t="n">
        <v>0.0139715917</v>
      </c>
      <c r="D4" s="8"/>
    </row>
    <row r="5" customFormat="false" ht="15" hidden="false" customHeight="true" outlineLevel="0" collapsed="false">
      <c r="A5" s="5" t="s">
        <v>38</v>
      </c>
      <c r="B5" s="5" t="n">
        <f aca="false">VALUE(LEFT(A5,4))</f>
        <v>1950</v>
      </c>
      <c r="C5" s="8" t="n">
        <v>0.0274832351</v>
      </c>
      <c r="D5" s="8"/>
    </row>
    <row r="6" customFormat="false" ht="15" hidden="false" customHeight="true" outlineLevel="0" collapsed="false">
      <c r="A6" s="5" t="s">
        <v>39</v>
      </c>
      <c r="B6" s="5" t="n">
        <f aca="false">VALUE(LEFT(A6,4))</f>
        <v>1950</v>
      </c>
      <c r="C6" s="8" t="n">
        <v>0.0252542624</v>
      </c>
      <c r="D6" s="8" t="n">
        <f aca="false">IFERROR((PIB_niveau!D6-PIB_niveau!D2)/PIB_niveau!D2,"")</f>
        <v>0.0841505583583698</v>
      </c>
    </row>
    <row r="7" customFormat="false" ht="15" hidden="false" customHeight="true" outlineLevel="0" collapsed="false">
      <c r="A7" s="5" t="s">
        <v>40</v>
      </c>
      <c r="B7" s="5" t="n">
        <f aca="false">VALUE(LEFT(A7,4))</f>
        <v>1950</v>
      </c>
      <c r="C7" s="8" t="n">
        <v>0.0242442514</v>
      </c>
      <c r="D7" s="8" t="n">
        <f aca="false">IFERROR((PIB_niveau!D7-PIB_niveau!D3)/PIB_niveau!D3,"")</f>
        <v>0.0940366652238869</v>
      </c>
    </row>
    <row r="8" customFormat="false" ht="15" hidden="false" customHeight="true" outlineLevel="0" collapsed="false">
      <c r="A8" s="5" t="s">
        <v>41</v>
      </c>
      <c r="B8" s="5" t="n">
        <f aca="false">VALUE(LEFT(A8,4))</f>
        <v>1950</v>
      </c>
      <c r="C8" s="8" t="n">
        <v>0.0239227456</v>
      </c>
      <c r="D8" s="8" t="n">
        <f aca="false">IFERROR((PIB_niveau!D8-PIB_niveau!D4)/PIB_niveau!D4,"")</f>
        <v>0.104790625301221</v>
      </c>
    </row>
    <row r="9" customFormat="false" ht="15" hidden="false" customHeight="true" outlineLevel="0" collapsed="false">
      <c r="A9" s="5" t="s">
        <v>42</v>
      </c>
      <c r="B9" s="5" t="n">
        <f aca="false">VALUE(LEFT(A9,4))</f>
        <v>1951</v>
      </c>
      <c r="C9" s="8" t="n">
        <v>0.0004741891</v>
      </c>
      <c r="D9" s="8" t="n">
        <f aca="false">IFERROR((PIB_niveau!D9-PIB_niveau!D5)/PIB_niveau!D5,"")</f>
        <v>0.075746813728775</v>
      </c>
    </row>
    <row r="10" customFormat="false" ht="15" hidden="false" customHeight="true" outlineLevel="0" collapsed="false">
      <c r="A10" s="5" t="s">
        <v>43</v>
      </c>
      <c r="B10" s="5" t="n">
        <f aca="false">VALUE(LEFT(A10,4))</f>
        <v>1951</v>
      </c>
      <c r="C10" s="8" t="n">
        <v>0.0072453766</v>
      </c>
      <c r="D10" s="8" t="n">
        <f aca="false">IFERROR((PIB_niveau!D10-PIB_niveau!D6)/PIB_niveau!D6,"")</f>
        <v>0.056848186975504</v>
      </c>
    </row>
    <row r="11" customFormat="false" ht="15" hidden="false" customHeight="true" outlineLevel="0" collapsed="false">
      <c r="A11" s="5" t="s">
        <v>44</v>
      </c>
      <c r="B11" s="5" t="n">
        <f aca="false">VALUE(LEFT(A11,4))</f>
        <v>1951</v>
      </c>
      <c r="C11" s="8" t="n">
        <v>0.014366164</v>
      </c>
      <c r="D11" s="8" t="n">
        <f aca="false">IFERROR((PIB_niveau!D11-PIB_niveau!D7)/PIB_niveau!D7,"")</f>
        <v>0.0466588391444179</v>
      </c>
    </row>
    <row r="12" customFormat="false" ht="15" hidden="false" customHeight="true" outlineLevel="0" collapsed="false">
      <c r="A12" s="5" t="s">
        <v>45</v>
      </c>
      <c r="B12" s="5" t="n">
        <f aca="false">VALUE(LEFT(A12,4))</f>
        <v>1951</v>
      </c>
      <c r="C12" s="8" t="n">
        <v>0.0100744127</v>
      </c>
      <c r="D12" s="8" t="n">
        <f aca="false">IFERROR((PIB_niveau!D12-PIB_niveau!D8)/PIB_niveau!D8,"")</f>
        <v>0.0324936745148384</v>
      </c>
    </row>
    <row r="13" customFormat="false" ht="15" hidden="false" customHeight="true" outlineLevel="0" collapsed="false">
      <c r="A13" s="5" t="s">
        <v>46</v>
      </c>
      <c r="B13" s="5" t="n">
        <f aca="false">VALUE(LEFT(A13,4))</f>
        <v>1952</v>
      </c>
      <c r="C13" s="8" t="n">
        <v>0.0173883225</v>
      </c>
      <c r="D13" s="8" t="n">
        <f aca="false">IFERROR((PIB_niveau!D13-PIB_niveau!D9)/PIB_niveau!D9,"")</f>
        <v>0.0499570195218576</v>
      </c>
    </row>
    <row r="14" customFormat="false" ht="15" hidden="false" customHeight="true" outlineLevel="0" collapsed="false">
      <c r="A14" s="5" t="s">
        <v>47</v>
      </c>
      <c r="B14" s="5" t="n">
        <f aca="false">VALUE(LEFT(A14,4))</f>
        <v>1952</v>
      </c>
      <c r="C14" s="8" t="n">
        <v>-0.0053331143</v>
      </c>
      <c r="D14" s="8" t="n">
        <f aca="false">IFERROR((PIB_niveau!D14-PIB_niveau!D10)/PIB_niveau!D10,"")</f>
        <v>0.0368331869735686</v>
      </c>
    </row>
    <row r="15" customFormat="false" ht="15" hidden="false" customHeight="true" outlineLevel="0" collapsed="false">
      <c r="A15" s="5" t="s">
        <v>48</v>
      </c>
      <c r="B15" s="5" t="n">
        <f aca="false">VALUE(LEFT(A15,4))</f>
        <v>1952</v>
      </c>
      <c r="C15" s="8" t="n">
        <v>0.0097573725</v>
      </c>
      <c r="D15" s="8" t="n">
        <f aca="false">IFERROR((PIB_niveau!D15-PIB_niveau!D11)/PIB_niveau!D11,"")</f>
        <v>0.0321294444715408</v>
      </c>
    </row>
    <row r="16" customFormat="false" ht="15" hidden="false" customHeight="true" outlineLevel="0" collapsed="false">
      <c r="A16" s="5" t="s">
        <v>49</v>
      </c>
      <c r="B16" s="5" t="n">
        <f aca="false">VALUE(LEFT(A16,4))</f>
        <v>1952</v>
      </c>
      <c r="C16" s="8" t="n">
        <v>-0.0021570734</v>
      </c>
      <c r="D16" s="8" t="n">
        <f aca="false">IFERROR((PIB_niveau!D16-PIB_niveau!D12)/PIB_niveau!D12,"")</f>
        <v>0.0196407445858182</v>
      </c>
    </row>
    <row r="17" customFormat="false" ht="15" hidden="false" customHeight="true" outlineLevel="0" collapsed="false">
      <c r="A17" s="5" t="s">
        <v>50</v>
      </c>
      <c r="B17" s="5" t="n">
        <f aca="false">VALUE(LEFT(A17,4))</f>
        <v>1953</v>
      </c>
      <c r="C17" s="8" t="n">
        <v>0.0109478037</v>
      </c>
      <c r="D17" s="8" t="n">
        <f aca="false">IFERROR((PIB_niveau!D17-PIB_niveau!D13)/PIB_niveau!D13,"")</f>
        <v>0.01317054070409</v>
      </c>
    </row>
    <row r="18" customFormat="false" ht="15" hidden="false" customHeight="true" outlineLevel="0" collapsed="false">
      <c r="A18" s="5" t="s">
        <v>51</v>
      </c>
      <c r="B18" s="5" t="n">
        <f aca="false">VALUE(LEFT(A18,4))</f>
        <v>1953</v>
      </c>
      <c r="C18" s="8" t="n">
        <v>0.016156744</v>
      </c>
      <c r="D18" s="8" t="n">
        <f aca="false">IFERROR((PIB_niveau!D18-PIB_niveau!D14)/PIB_niveau!D14,"")</f>
        <v>0.0350713953405148</v>
      </c>
    </row>
    <row r="19" customFormat="false" ht="15" hidden="false" customHeight="true" outlineLevel="0" collapsed="false">
      <c r="A19" s="5" t="s">
        <v>52</v>
      </c>
      <c r="B19" s="5" t="n">
        <f aca="false">VALUE(LEFT(A19,4))</f>
        <v>1953</v>
      </c>
      <c r="C19" s="8" t="n">
        <v>0.0047055694</v>
      </c>
      <c r="D19" s="8" t="n">
        <f aca="false">IFERROR((PIB_niveau!D19-PIB_niveau!D15)/PIB_niveau!D15,"")</f>
        <v>0.0298888324453318</v>
      </c>
    </row>
    <row r="20" customFormat="false" ht="15" hidden="false" customHeight="true" outlineLevel="0" collapsed="false">
      <c r="A20" s="5" t="s">
        <v>53</v>
      </c>
      <c r="B20" s="5" t="n">
        <f aca="false">VALUE(LEFT(A20,4))</f>
        <v>1953</v>
      </c>
      <c r="C20" s="8" t="n">
        <v>0.0159959834</v>
      </c>
      <c r="D20" s="8" t="n">
        <f aca="false">IFERROR((PIB_niveau!D20-PIB_niveau!D16)/PIB_niveau!D16,"")</f>
        <v>0.0486236902859172</v>
      </c>
    </row>
    <row r="21" customFormat="false" ht="15" hidden="false" customHeight="true" outlineLevel="0" collapsed="false">
      <c r="A21" s="5" t="s">
        <v>54</v>
      </c>
      <c r="B21" s="5" t="n">
        <f aca="false">VALUE(LEFT(A21,4))</f>
        <v>1954</v>
      </c>
      <c r="C21" s="8" t="n">
        <v>0.0150795449</v>
      </c>
      <c r="D21" s="8" t="n">
        <f aca="false">IFERROR((PIB_niveau!D21-PIB_niveau!D17)/PIB_niveau!D17,"")</f>
        <v>0.0529107964726136</v>
      </c>
    </row>
    <row r="22" customFormat="false" ht="15" hidden="false" customHeight="true" outlineLevel="0" collapsed="false">
      <c r="A22" s="5" t="s">
        <v>55</v>
      </c>
      <c r="B22" s="5" t="n">
        <f aca="false">VALUE(LEFT(A22,4))</f>
        <v>1954</v>
      </c>
      <c r="C22" s="8" t="n">
        <v>0.0178902894</v>
      </c>
      <c r="D22" s="8" t="n">
        <f aca="false">IFERROR((PIB_niveau!D22-PIB_niveau!D18)/PIB_niveau!D18,"")</f>
        <v>0.0547084788346068</v>
      </c>
    </row>
    <row r="23" customFormat="false" ht="15" hidden="false" customHeight="true" outlineLevel="0" collapsed="false">
      <c r="A23" s="5" t="s">
        <v>56</v>
      </c>
      <c r="B23" s="5" t="n">
        <f aca="false">VALUE(LEFT(A23,4))</f>
        <v>1954</v>
      </c>
      <c r="C23" s="8" t="n">
        <v>0.0159023597</v>
      </c>
      <c r="D23" s="8" t="n">
        <f aca="false">IFERROR((PIB_niveau!D23-PIB_niveau!D19)/PIB_niveau!D19,"")</f>
        <v>0.0664624843708776</v>
      </c>
    </row>
    <row r="24" customFormat="false" ht="15" hidden="false" customHeight="true" outlineLevel="0" collapsed="false">
      <c r="A24" s="5" t="s">
        <v>57</v>
      </c>
      <c r="B24" s="5" t="n">
        <f aca="false">VALUE(LEFT(A24,4))</f>
        <v>1954</v>
      </c>
      <c r="C24" s="8" t="n">
        <v>0.0076640887</v>
      </c>
      <c r="D24" s="8" t="n">
        <f aca="false">IFERROR((PIB_niveau!D24-PIB_niveau!D20)/PIB_niveau!D20,"")</f>
        <v>0.0577157566725375</v>
      </c>
    </row>
    <row r="25" customFormat="false" ht="15" hidden="false" customHeight="true" outlineLevel="0" collapsed="false">
      <c r="A25" s="5" t="s">
        <v>58</v>
      </c>
      <c r="B25" s="5" t="n">
        <f aca="false">VALUE(LEFT(A25,4))</f>
        <v>1955</v>
      </c>
      <c r="C25" s="8" t="n">
        <v>0.0133470279</v>
      </c>
      <c r="D25" s="8" t="n">
        <f aca="false">IFERROR((PIB_niveau!D25-PIB_niveau!D21)/PIB_niveau!D21,"")</f>
        <v>0.0559133326659771</v>
      </c>
    </row>
    <row r="26" customFormat="false" ht="15" hidden="false" customHeight="true" outlineLevel="0" collapsed="false">
      <c r="A26" s="5" t="s">
        <v>59</v>
      </c>
      <c r="B26" s="5" t="n">
        <f aca="false">VALUE(LEFT(A26,4))</f>
        <v>1955</v>
      </c>
      <c r="C26" s="8" t="n">
        <v>0.0145887169</v>
      </c>
      <c r="D26" s="8" t="n">
        <f aca="false">IFERROR((PIB_niveau!D26-PIB_niveau!D22)/PIB_niveau!D22,"")</f>
        <v>0.0524826259888981</v>
      </c>
    </row>
    <row r="27" customFormat="false" ht="15" hidden="false" customHeight="true" outlineLevel="0" collapsed="false">
      <c r="A27" s="5" t="s">
        <v>60</v>
      </c>
      <c r="B27" s="5" t="n">
        <f aca="false">VALUE(LEFT(A27,4))</f>
        <v>1955</v>
      </c>
      <c r="C27" s="8" t="n">
        <v>0.0148768847</v>
      </c>
      <c r="D27" s="8" t="n">
        <f aca="false">IFERROR((PIB_niveau!D27-PIB_niveau!D23)/PIB_niveau!D23,"")</f>
        <v>0.0514246377902786</v>
      </c>
    </row>
    <row r="28" customFormat="false" ht="15" hidden="false" customHeight="true" outlineLevel="0" collapsed="false">
      <c r="A28" s="5" t="s">
        <v>61</v>
      </c>
      <c r="B28" s="5" t="n">
        <f aca="false">VALUE(LEFT(A28,4))</f>
        <v>1955</v>
      </c>
      <c r="C28" s="8" t="n">
        <v>0.0110614067</v>
      </c>
      <c r="D28" s="8" t="n">
        <f aca="false">IFERROR((PIB_niveau!D28-PIB_niveau!D24)/PIB_niveau!D24,"")</f>
        <v>0.0549613594637291</v>
      </c>
    </row>
    <row r="29" customFormat="false" ht="15" hidden="false" customHeight="true" outlineLevel="0" collapsed="false">
      <c r="A29" s="5" t="s">
        <v>62</v>
      </c>
      <c r="B29" s="5" t="n">
        <f aca="false">VALUE(LEFT(A29,4))</f>
        <v>1956</v>
      </c>
      <c r="C29" s="8" t="n">
        <v>0.0076203728</v>
      </c>
      <c r="D29" s="8" t="n">
        <f aca="false">IFERROR((PIB_niveau!D29-PIB_niveau!D25)/PIB_niveau!D25,"")</f>
        <v>0.049002464870331</v>
      </c>
    </row>
    <row r="30" customFormat="false" ht="15" hidden="false" customHeight="true" outlineLevel="0" collapsed="false">
      <c r="A30" s="5" t="s">
        <v>63</v>
      </c>
      <c r="B30" s="5" t="n">
        <f aca="false">VALUE(LEFT(A30,4))</f>
        <v>1956</v>
      </c>
      <c r="C30" s="8" t="n">
        <v>0.017197165</v>
      </c>
      <c r="D30" s="8" t="n">
        <f aca="false">IFERROR((PIB_niveau!D30-PIB_niveau!D26)/PIB_niveau!D26,"")</f>
        <v>0.0517031945929672</v>
      </c>
    </row>
    <row r="31" customFormat="false" ht="15" hidden="false" customHeight="true" outlineLevel="0" collapsed="false">
      <c r="A31" s="5" t="s">
        <v>64</v>
      </c>
      <c r="B31" s="5" t="n">
        <f aca="false">VALUE(LEFT(A31,4))</f>
        <v>1956</v>
      </c>
      <c r="C31" s="8" t="n">
        <v>0.0123627636</v>
      </c>
      <c r="D31" s="8" t="n">
        <f aca="false">IFERROR((PIB_niveau!D31-PIB_niveau!D27)/PIB_niveau!D27,"")</f>
        <v>0.049093624682871</v>
      </c>
    </row>
    <row r="32" customFormat="false" ht="15" hidden="false" customHeight="true" outlineLevel="0" collapsed="false">
      <c r="A32" s="5" t="s">
        <v>65</v>
      </c>
      <c r="B32" s="5" t="n">
        <f aca="false">VALUE(LEFT(A32,4))</f>
        <v>1956</v>
      </c>
      <c r="C32" s="8" t="n">
        <v>0.0150751072</v>
      </c>
      <c r="D32" s="8" t="n">
        <f aca="false">IFERROR((PIB_niveau!D32-PIB_niveau!D28)/PIB_niveau!D28,"")</f>
        <v>0.0532615624336001</v>
      </c>
    </row>
    <row r="33" customFormat="false" ht="15" hidden="false" customHeight="true" outlineLevel="0" collapsed="false">
      <c r="A33" s="5" t="s">
        <v>66</v>
      </c>
      <c r="B33" s="5" t="n">
        <f aca="false">VALUE(LEFT(A33,4))</f>
        <v>1957</v>
      </c>
      <c r="C33" s="8" t="n">
        <v>0.0190142024</v>
      </c>
      <c r="D33" s="8" t="n">
        <f aca="false">IFERROR((PIB_niveau!D33-PIB_niveau!D29)/PIB_niveau!D29,"")</f>
        <v>0.0651798445564638</v>
      </c>
    </row>
    <row r="34" customFormat="false" ht="15" hidden="false" customHeight="true" outlineLevel="0" collapsed="false">
      <c r="A34" s="5" t="s">
        <v>67</v>
      </c>
      <c r="B34" s="5" t="n">
        <f aca="false">VALUE(LEFT(A34,4))</f>
        <v>1957</v>
      </c>
      <c r="C34" s="8" t="n">
        <v>0.0069087654</v>
      </c>
      <c r="D34" s="8" t="n">
        <f aca="false">IFERROR((PIB_niveau!D34-PIB_niveau!D30)/PIB_niveau!D30,"")</f>
        <v>0.0543934293527082</v>
      </c>
    </row>
    <row r="35" customFormat="false" ht="15" hidden="false" customHeight="true" outlineLevel="0" collapsed="false">
      <c r="A35" s="5" t="s">
        <v>68</v>
      </c>
      <c r="B35" s="5" t="n">
        <f aca="false">VALUE(LEFT(A35,4))</f>
        <v>1957</v>
      </c>
      <c r="C35" s="8" t="n">
        <v>0.0166831503</v>
      </c>
      <c r="D35" s="8" t="n">
        <f aca="false">IFERROR((PIB_niveau!D35-PIB_niveau!D31)/PIB_niveau!D31,"")</f>
        <v>0.0588975241587112</v>
      </c>
    </row>
    <row r="36" customFormat="false" ht="15" hidden="false" customHeight="true" outlineLevel="0" collapsed="false">
      <c r="A36" s="5" t="s">
        <v>69</v>
      </c>
      <c r="B36" s="5" t="n">
        <f aca="false">VALUE(LEFT(A36,4))</f>
        <v>1957</v>
      </c>
      <c r="C36" s="8" t="n">
        <v>0.0028699788</v>
      </c>
      <c r="D36" s="8" t="n">
        <f aca="false">IFERROR((PIB_niveau!D36-PIB_niveau!D32)/PIB_niveau!D32,"")</f>
        <v>0.0461684774777372</v>
      </c>
    </row>
    <row r="37" customFormat="false" ht="15" hidden="false" customHeight="true" outlineLevel="0" collapsed="false">
      <c r="A37" s="5" t="s">
        <v>70</v>
      </c>
      <c r="B37" s="5" t="n">
        <f aca="false">VALUE(LEFT(A37,4))</f>
        <v>1958</v>
      </c>
      <c r="C37" s="8" t="n">
        <v>0.0128746517</v>
      </c>
      <c r="D37" s="8" t="n">
        <f aca="false">IFERROR((PIB_niveau!D37-PIB_niveau!D33)/PIB_niveau!D33,"")</f>
        <v>0.039857839116868</v>
      </c>
    </row>
    <row r="38" customFormat="false" ht="15" hidden="false" customHeight="true" outlineLevel="0" collapsed="false">
      <c r="A38" s="5" t="s">
        <v>71</v>
      </c>
      <c r="B38" s="5" t="n">
        <f aca="false">VALUE(LEFT(A38,4))</f>
        <v>1958</v>
      </c>
      <c r="C38" s="8" t="n">
        <v>0.0038859442</v>
      </c>
      <c r="D38" s="8" t="n">
        <f aca="false">IFERROR((PIB_niveau!D38-PIB_niveau!D34)/PIB_niveau!D34,"")</f>
        <v>0.0367478396015317</v>
      </c>
    </row>
    <row r="39" customFormat="false" ht="15" hidden="false" customHeight="true" outlineLevel="0" collapsed="false">
      <c r="A39" s="5" t="s">
        <v>72</v>
      </c>
      <c r="B39" s="5" t="n">
        <f aca="false">VALUE(LEFT(A39,4))</f>
        <v>1958</v>
      </c>
      <c r="C39" s="8" t="n">
        <v>-0.0018829116</v>
      </c>
      <c r="D39" s="8" t="n">
        <f aca="false">IFERROR((PIB_niveau!D39-PIB_niveau!D35)/PIB_niveau!D35,"")</f>
        <v>0.0178099474173736</v>
      </c>
    </row>
    <row r="40" customFormat="false" ht="15" hidden="false" customHeight="true" outlineLevel="0" collapsed="false">
      <c r="A40" s="5" t="s">
        <v>73</v>
      </c>
      <c r="B40" s="5" t="n">
        <f aca="false">VALUE(LEFT(A40,4))</f>
        <v>1958</v>
      </c>
      <c r="C40" s="8" t="n">
        <v>0.0033861934</v>
      </c>
      <c r="D40" s="8" t="n">
        <f aca="false">IFERROR((PIB_niveau!D40-PIB_niveau!D36)/PIB_niveau!D36,"")</f>
        <v>0.0183282370549938</v>
      </c>
    </row>
    <row r="41" customFormat="false" ht="15" hidden="false" customHeight="true" outlineLevel="0" collapsed="false">
      <c r="A41" s="5" t="s">
        <v>74</v>
      </c>
      <c r="B41" s="5" t="n">
        <f aca="false">VALUE(LEFT(A41,4))</f>
        <v>1959</v>
      </c>
      <c r="C41" s="8" t="n">
        <v>0.0019994332</v>
      </c>
      <c r="D41" s="8" t="n">
        <f aca="false">IFERROR((PIB_niveau!D41-PIB_niveau!D37)/PIB_niveau!D37,"")</f>
        <v>0.00739767009655037</v>
      </c>
    </row>
    <row r="42" customFormat="false" ht="15" hidden="false" customHeight="true" outlineLevel="0" collapsed="false">
      <c r="A42" s="5" t="s">
        <v>75</v>
      </c>
      <c r="B42" s="5" t="n">
        <f aca="false">VALUE(LEFT(A42,4))</f>
        <v>1959</v>
      </c>
      <c r="C42" s="8" t="n">
        <v>0.0128781726</v>
      </c>
      <c r="D42" s="8" t="n">
        <f aca="false">IFERROR((PIB_niveau!D42-PIB_niveau!D38)/PIB_niveau!D38,"")</f>
        <v>0.0164177217476115</v>
      </c>
    </row>
    <row r="43" customFormat="false" ht="15" hidden="false" customHeight="true" outlineLevel="0" collapsed="false">
      <c r="A43" s="5" t="s">
        <v>76</v>
      </c>
      <c r="B43" s="5" t="n">
        <f aca="false">VALUE(LEFT(A43,4))</f>
        <v>1959</v>
      </c>
      <c r="C43" s="8" t="n">
        <v>0.0110927732</v>
      </c>
      <c r="D43" s="8" t="n">
        <f aca="false">IFERROR((PIB_niveau!D43-PIB_niveau!D39)/PIB_niveau!D39,"")</f>
        <v>0.0296403528613436</v>
      </c>
    </row>
    <row r="44" customFormat="false" ht="15" hidden="false" customHeight="true" outlineLevel="0" collapsed="false">
      <c r="A44" s="5" t="s">
        <v>77</v>
      </c>
      <c r="B44" s="5" t="n">
        <f aca="false">VALUE(LEFT(A44,4))</f>
        <v>1959</v>
      </c>
      <c r="C44" s="8" t="n">
        <v>0.0250791699</v>
      </c>
      <c r="D44" s="8" t="n">
        <f aca="false">IFERROR((PIB_niveau!D44-PIB_niveau!D40)/PIB_niveau!D40,"")</f>
        <v>0.0519030829854192</v>
      </c>
    </row>
    <row r="45" customFormat="false" ht="15" hidden="false" customHeight="true" outlineLevel="0" collapsed="false">
      <c r="A45" s="5" t="s">
        <v>78</v>
      </c>
      <c r="B45" s="5" t="n">
        <f aca="false">VALUE(LEFT(A45,4))</f>
        <v>1960</v>
      </c>
      <c r="C45" s="8" t="n">
        <v>0.020778209</v>
      </c>
      <c r="D45" s="8" t="n">
        <f aca="false">IFERROR((PIB_niveau!D45-PIB_niveau!D41)/PIB_niveau!D41,"")</f>
        <v>0.0716156262092674</v>
      </c>
    </row>
    <row r="46" customFormat="false" ht="15" hidden="false" customHeight="true" outlineLevel="0" collapsed="false">
      <c r="A46" s="5" t="s">
        <v>79</v>
      </c>
      <c r="B46" s="5" t="n">
        <f aca="false">VALUE(LEFT(A46,4))</f>
        <v>1960</v>
      </c>
      <c r="C46" s="8" t="n">
        <v>0.0250389909</v>
      </c>
      <c r="D46" s="8" t="n">
        <f aca="false">IFERROR((PIB_niveau!D46-PIB_niveau!D42)/PIB_niveau!D42,"")</f>
        <v>0.0844765086360082</v>
      </c>
    </row>
    <row r="47" customFormat="false" ht="15" hidden="false" customHeight="true" outlineLevel="0" collapsed="false">
      <c r="A47" s="5" t="s">
        <v>80</v>
      </c>
      <c r="B47" s="5" t="n">
        <f aca="false">VALUE(LEFT(A47,4))</f>
        <v>1960</v>
      </c>
      <c r="C47" s="8" t="n">
        <v>0.0166806073</v>
      </c>
      <c r="D47" s="8" t="n">
        <f aca="false">IFERROR((PIB_niveau!D47-PIB_niveau!D43)/PIB_niveau!D43,"")</f>
        <v>0.0904649344030369</v>
      </c>
    </row>
    <row r="48" customFormat="false" ht="15" hidden="false" customHeight="true" outlineLevel="0" collapsed="false">
      <c r="A48" s="5" t="s">
        <v>81</v>
      </c>
      <c r="B48" s="5" t="n">
        <f aca="false">VALUE(LEFT(A48,4))</f>
        <v>1960</v>
      </c>
      <c r="C48" s="8" t="n">
        <v>0.0104286324</v>
      </c>
      <c r="D48" s="8" t="n">
        <f aca="false">IFERROR((PIB_niveau!D48-PIB_niveau!D44)/PIB_niveau!D44,"")</f>
        <v>0.0748789164630749</v>
      </c>
    </row>
    <row r="49" customFormat="false" ht="15" hidden="false" customHeight="true" outlineLevel="0" collapsed="false">
      <c r="A49" s="5" t="s">
        <v>82</v>
      </c>
      <c r="B49" s="5" t="n">
        <f aca="false">VALUE(LEFT(A49,4))</f>
        <v>1961</v>
      </c>
      <c r="C49" s="8" t="n">
        <v>0.0138417538</v>
      </c>
      <c r="D49" s="8" t="n">
        <f aca="false">IFERROR((PIB_niveau!D49-PIB_niveau!D45)/PIB_niveau!D45,"")</f>
        <v>0.0675769867063043</v>
      </c>
    </row>
    <row r="50" customFormat="false" ht="15" hidden="false" customHeight="true" outlineLevel="0" collapsed="false">
      <c r="A50" s="5" t="s">
        <v>83</v>
      </c>
      <c r="B50" s="5" t="n">
        <f aca="false">VALUE(LEFT(A50,4))</f>
        <v>1961</v>
      </c>
      <c r="C50" s="8" t="n">
        <v>0.0062081952</v>
      </c>
      <c r="D50" s="8" t="n">
        <f aca="false">IFERROR((PIB_niveau!D50-PIB_niveau!D46)/PIB_niveau!D46,"")</f>
        <v>0.0479682123545797</v>
      </c>
    </row>
    <row r="51" customFormat="false" ht="15" hidden="false" customHeight="true" outlineLevel="0" collapsed="false">
      <c r="A51" s="5" t="s">
        <v>84</v>
      </c>
      <c r="B51" s="5" t="n">
        <f aca="false">VALUE(LEFT(A51,4))</f>
        <v>1961</v>
      </c>
      <c r="C51" s="8" t="n">
        <v>0.0094928625</v>
      </c>
      <c r="D51" s="8" t="n">
        <f aca="false">IFERROR((PIB_niveau!D51-PIB_niveau!D47)/PIB_niveau!D47,"")</f>
        <v>0.0405653687467766</v>
      </c>
    </row>
    <row r="52" customFormat="false" ht="15" hidden="false" customHeight="true" outlineLevel="0" collapsed="false">
      <c r="A52" s="5" t="s">
        <v>85</v>
      </c>
      <c r="B52" s="5" t="n">
        <f aca="false">VALUE(LEFT(A52,4))</f>
        <v>1961</v>
      </c>
      <c r="C52" s="8" t="n">
        <v>0.0176678456</v>
      </c>
      <c r="D52" s="8" t="n">
        <f aca="false">IFERROR((PIB_niveau!D52-PIB_niveau!D48)/PIB_niveau!D48,"")</f>
        <v>0.0480181832682032</v>
      </c>
    </row>
    <row r="53" customFormat="false" ht="15" hidden="false" customHeight="true" outlineLevel="0" collapsed="false">
      <c r="A53" s="5" t="s">
        <v>86</v>
      </c>
      <c r="B53" s="5" t="n">
        <f aca="false">VALUE(LEFT(A53,4))</f>
        <v>1962</v>
      </c>
      <c r="C53" s="8" t="n">
        <v>0.0206828706</v>
      </c>
      <c r="D53" s="8" t="n">
        <f aca="false">IFERROR((PIB_niveau!D53-PIB_niveau!D49)/PIB_niveau!D49,"")</f>
        <v>0.0550870789610307</v>
      </c>
    </row>
    <row r="54" customFormat="false" ht="15" hidden="false" customHeight="true" outlineLevel="0" collapsed="false">
      <c r="A54" s="5" t="s">
        <v>87</v>
      </c>
      <c r="B54" s="5" t="n">
        <f aca="false">VALUE(LEFT(A54,4))</f>
        <v>1962</v>
      </c>
      <c r="C54" s="8" t="n">
        <v>0.0152905778</v>
      </c>
      <c r="D54" s="8" t="n">
        <f aca="false">IFERROR((PIB_niveau!D54-PIB_niveau!D50)/PIB_niveau!D50,"")</f>
        <v>0.0646132197162178</v>
      </c>
    </row>
    <row r="55" customFormat="false" ht="15" hidden="false" customHeight="true" outlineLevel="0" collapsed="false">
      <c r="A55" s="5" t="s">
        <v>88</v>
      </c>
      <c r="B55" s="5" t="n">
        <f aca="false">VALUE(LEFT(A55,4))</f>
        <v>1962</v>
      </c>
      <c r="C55" s="8" t="n">
        <v>0.0193733978</v>
      </c>
      <c r="D55" s="8" t="n">
        <f aca="false">IFERROR((PIB_niveau!D55-PIB_niveau!D51)/PIB_niveau!D51,"")</f>
        <v>0.0750251684349107</v>
      </c>
    </row>
    <row r="56" customFormat="false" ht="15" hidden="false" customHeight="true" outlineLevel="0" collapsed="false">
      <c r="A56" s="5" t="s">
        <v>89</v>
      </c>
      <c r="B56" s="5" t="n">
        <f aca="false">VALUE(LEFT(A56,4))</f>
        <v>1962</v>
      </c>
      <c r="C56" s="8" t="n">
        <v>0.0107504257</v>
      </c>
      <c r="D56" s="8" t="n">
        <f aca="false">IFERROR((PIB_niveau!D56-PIB_niveau!D52)/PIB_niveau!D52,"")</f>
        <v>0.0677188363226823</v>
      </c>
    </row>
    <row r="57" customFormat="false" ht="15" hidden="false" customHeight="true" outlineLevel="0" collapsed="false">
      <c r="A57" s="5" t="s">
        <v>90</v>
      </c>
      <c r="B57" s="5" t="n">
        <f aca="false">VALUE(LEFT(A57,4))</f>
        <v>1963</v>
      </c>
      <c r="C57" s="8" t="n">
        <v>-0.0094185281</v>
      </c>
      <c r="D57" s="8" t="n">
        <f aca="false">IFERROR((PIB_niveau!D57-PIB_niveau!D53)/PIB_niveau!D53,"")</f>
        <v>0.0362337749479979</v>
      </c>
    </row>
    <row r="58" customFormat="false" ht="15" hidden="false" customHeight="true" outlineLevel="0" collapsed="false">
      <c r="A58" s="5" t="s">
        <v>91</v>
      </c>
      <c r="B58" s="5" t="n">
        <f aca="false">VALUE(LEFT(A58,4))</f>
        <v>1963</v>
      </c>
      <c r="C58" s="8" t="n">
        <v>0.0447769863</v>
      </c>
      <c r="D58" s="8" t="n">
        <f aca="false">IFERROR((PIB_niveau!D58-PIB_niveau!D54)/PIB_niveau!D54,"")</f>
        <v>0.0663239829637244</v>
      </c>
    </row>
    <row r="59" customFormat="false" ht="15" hidden="false" customHeight="true" outlineLevel="0" collapsed="false">
      <c r="A59" s="5" t="s">
        <v>92</v>
      </c>
      <c r="B59" s="5" t="n">
        <f aca="false">VALUE(LEFT(A59,4))</f>
        <v>1963</v>
      </c>
      <c r="C59" s="8" t="n">
        <v>0.0340756571</v>
      </c>
      <c r="D59" s="8" t="n">
        <f aca="false">IFERROR((PIB_niveau!D59-PIB_niveau!D55)/PIB_niveau!D55,"")</f>
        <v>0.0817113054503018</v>
      </c>
    </row>
    <row r="60" customFormat="false" ht="15" hidden="false" customHeight="true" outlineLevel="0" collapsed="false">
      <c r="A60" s="5" t="s">
        <v>93</v>
      </c>
      <c r="B60" s="5" t="n">
        <f aca="false">VALUE(LEFT(A60,4))</f>
        <v>1963</v>
      </c>
      <c r="C60" s="8" t="n">
        <v>-0.0029171858</v>
      </c>
      <c r="D60" s="8" t="n">
        <f aca="false">IFERROR((PIB_niveau!D60-PIB_niveau!D56)/PIB_niveau!D56,"")</f>
        <v>0.0670871641365548</v>
      </c>
    </row>
    <row r="61" customFormat="false" ht="15" hidden="false" customHeight="true" outlineLevel="0" collapsed="false">
      <c r="A61" s="5" t="s">
        <v>94</v>
      </c>
      <c r="B61" s="5" t="n">
        <f aca="false">VALUE(LEFT(A61,4))</f>
        <v>1964</v>
      </c>
      <c r="C61" s="8" t="n">
        <v>0.0211589706</v>
      </c>
      <c r="D61" s="8" t="n">
        <f aca="false">IFERROR((PIB_niveau!D61-PIB_niveau!D57)/PIB_niveau!D57,"")</f>
        <v>0.100022303923332</v>
      </c>
    </row>
    <row r="62" customFormat="false" ht="15" hidden="false" customHeight="true" outlineLevel="0" collapsed="false">
      <c r="A62" s="5" t="s">
        <v>95</v>
      </c>
      <c r="B62" s="5" t="n">
        <f aca="false">VALUE(LEFT(A62,4))</f>
        <v>1964</v>
      </c>
      <c r="C62" s="8" t="n">
        <v>0.0127302318</v>
      </c>
      <c r="D62" s="8" t="n">
        <f aca="false">IFERROR((PIB_niveau!D62-PIB_niveau!D58)/PIB_niveau!D58,"")</f>
        <v>0.0662824009035066</v>
      </c>
    </row>
    <row r="63" customFormat="false" ht="15" hidden="false" customHeight="true" outlineLevel="0" collapsed="false">
      <c r="A63" s="5" t="s">
        <v>96</v>
      </c>
      <c r="B63" s="5" t="n">
        <f aca="false">VALUE(LEFT(A63,4))</f>
        <v>1964</v>
      </c>
      <c r="C63" s="8" t="n">
        <v>0.0093542336</v>
      </c>
      <c r="D63" s="8" t="n">
        <f aca="false">IFERROR((PIB_niveau!D63-PIB_niveau!D59)/PIB_niveau!D59,"")</f>
        <v>0.0407828930281498</v>
      </c>
    </row>
    <row r="64" customFormat="false" ht="15" hidden="false" customHeight="true" outlineLevel="0" collapsed="false">
      <c r="A64" s="5" t="s">
        <v>97</v>
      </c>
      <c r="B64" s="5" t="n">
        <f aca="false">VALUE(LEFT(A64,4))</f>
        <v>1964</v>
      </c>
      <c r="C64" s="8" t="n">
        <v>0.0132146342</v>
      </c>
      <c r="D64" s="8" t="n">
        <f aca="false">IFERROR((PIB_niveau!D64-PIB_niveau!D60)/PIB_niveau!D60,"")</f>
        <v>0.0576264167829925</v>
      </c>
    </row>
    <row r="65" customFormat="false" ht="15" hidden="false" customHeight="true" outlineLevel="0" collapsed="false">
      <c r="A65" s="5" t="s">
        <v>98</v>
      </c>
      <c r="B65" s="5" t="n">
        <f aca="false">VALUE(LEFT(A65,4))</f>
        <v>1965</v>
      </c>
      <c r="C65" s="8" t="n">
        <v>0.0046945683</v>
      </c>
      <c r="D65" s="8" t="n">
        <f aca="false">IFERROR((PIB_niveau!D65-PIB_niveau!D61)/PIB_niveau!D61,"")</f>
        <v>0.0405713874590395</v>
      </c>
    </row>
    <row r="66" customFormat="false" ht="15" hidden="false" customHeight="true" outlineLevel="0" collapsed="false">
      <c r="A66" s="5" t="s">
        <v>99</v>
      </c>
      <c r="B66" s="5" t="n">
        <f aca="false">VALUE(LEFT(A66,4))</f>
        <v>1965</v>
      </c>
      <c r="C66" s="8" t="n">
        <v>0.0185763782</v>
      </c>
      <c r="D66" s="8" t="n">
        <f aca="false">IFERROR((PIB_niveau!D66-PIB_niveau!D62)/PIB_niveau!D62,"")</f>
        <v>0.046578014298908</v>
      </c>
    </row>
    <row r="67" customFormat="false" ht="15" hidden="false" customHeight="true" outlineLevel="0" collapsed="false">
      <c r="A67" s="5" t="s">
        <v>100</v>
      </c>
      <c r="B67" s="5" t="n">
        <f aca="false">VALUE(LEFT(A67,4))</f>
        <v>1965</v>
      </c>
      <c r="C67" s="8" t="n">
        <v>0.0143149691</v>
      </c>
      <c r="D67" s="8" t="n">
        <f aca="false">IFERROR((PIB_niveau!D67-PIB_niveau!D63)/PIB_niveau!D63,"")</f>
        <v>0.0517260133730045</v>
      </c>
    </row>
    <row r="68" customFormat="false" ht="15" hidden="false" customHeight="true" outlineLevel="0" collapsed="false">
      <c r="A68" s="5" t="s">
        <v>101</v>
      </c>
      <c r="B68" s="5" t="n">
        <f aca="false">VALUE(LEFT(A68,4))</f>
        <v>1965</v>
      </c>
      <c r="C68" s="8" t="n">
        <v>0.0152093122</v>
      </c>
      <c r="D68" s="8" t="n">
        <f aca="false">IFERROR((PIB_niveau!D68-PIB_niveau!D64)/PIB_niveau!D64,"")</f>
        <v>0.0537918926940784</v>
      </c>
    </row>
    <row r="69" customFormat="false" ht="15" hidden="false" customHeight="true" outlineLevel="0" collapsed="false">
      <c r="A69" s="5" t="s">
        <v>102</v>
      </c>
      <c r="B69" s="5" t="n">
        <f aca="false">VALUE(LEFT(A69,4))</f>
        <v>1966</v>
      </c>
      <c r="C69" s="8" t="n">
        <v>0.0080469707</v>
      </c>
      <c r="D69" s="8" t="n">
        <f aca="false">IFERROR((PIB_niveau!D69-PIB_niveau!D65)/PIB_niveau!D65,"")</f>
        <v>0.0573120293662866</v>
      </c>
    </row>
    <row r="70" customFormat="false" ht="15" hidden="false" customHeight="true" outlineLevel="0" collapsed="false">
      <c r="A70" s="5" t="s">
        <v>103</v>
      </c>
      <c r="B70" s="5" t="n">
        <f aca="false">VALUE(LEFT(A70,4))</f>
        <v>1966</v>
      </c>
      <c r="C70" s="8" t="n">
        <v>0.0163421656</v>
      </c>
      <c r="D70" s="8" t="n">
        <f aca="false">IFERROR((PIB_niveau!D70-PIB_niveau!D66)/PIB_niveau!D66,"")</f>
        <v>0.0549957111737808</v>
      </c>
    </row>
    <row r="71" customFormat="false" ht="15" hidden="false" customHeight="true" outlineLevel="0" collapsed="false">
      <c r="A71" s="5" t="s">
        <v>104</v>
      </c>
      <c r="B71" s="5" t="n">
        <f aca="false">VALUE(LEFT(A71,4))</f>
        <v>1966</v>
      </c>
      <c r="C71" s="8" t="n">
        <v>0.0114356621</v>
      </c>
      <c r="D71" s="8" t="n">
        <f aca="false">IFERROR((PIB_niveau!D71-PIB_niveau!D67)/PIB_niveau!D67,"")</f>
        <v>0.0519988562320145</v>
      </c>
    </row>
    <row r="72" customFormat="false" ht="15" hidden="false" customHeight="true" outlineLevel="0" collapsed="false">
      <c r="A72" s="5" t="s">
        <v>105</v>
      </c>
      <c r="B72" s="5" t="n">
        <f aca="false">VALUE(LEFT(A72,4))</f>
        <v>1966</v>
      </c>
      <c r="C72" s="8" t="n">
        <v>0.0058428856</v>
      </c>
      <c r="D72" s="8" t="n">
        <f aca="false">IFERROR((PIB_niveau!D72-PIB_niveau!D68)/PIB_niveau!D68,"")</f>
        <v>0.0422906591398042</v>
      </c>
    </row>
    <row r="73" customFormat="false" ht="15" hidden="false" customHeight="true" outlineLevel="0" collapsed="false">
      <c r="A73" s="5" t="s">
        <v>106</v>
      </c>
      <c r="B73" s="5" t="n">
        <f aca="false">VALUE(LEFT(A73,4))</f>
        <v>1967</v>
      </c>
      <c r="C73" s="8" t="n">
        <v>0.0163852629</v>
      </c>
      <c r="D73" s="8" t="n">
        <f aca="false">IFERROR((PIB_niveau!D73-PIB_niveau!D69)/PIB_niveau!D69,"")</f>
        <v>0.05091194445105</v>
      </c>
    </row>
    <row r="74" customFormat="false" ht="15" hidden="false" customHeight="true" outlineLevel="0" collapsed="false">
      <c r="A74" s="5" t="s">
        <v>107</v>
      </c>
      <c r="B74" s="5" t="n">
        <f aca="false">VALUE(LEFT(A74,4))</f>
        <v>1967</v>
      </c>
      <c r="C74" s="8" t="n">
        <v>0.0119766704</v>
      </c>
      <c r="D74" s="8" t="n">
        <f aca="false">IFERROR((PIB_niveau!D74-PIB_niveau!D70)/PIB_niveau!D70,"")</f>
        <v>0.0463965465807991</v>
      </c>
    </row>
    <row r="75" customFormat="false" ht="15" hidden="false" customHeight="true" outlineLevel="0" collapsed="false">
      <c r="A75" s="5" t="s">
        <v>108</v>
      </c>
      <c r="B75" s="5" t="n">
        <f aca="false">VALUE(LEFT(A75,4))</f>
        <v>1967</v>
      </c>
      <c r="C75" s="8" t="n">
        <v>0.010169027</v>
      </c>
      <c r="D75" s="8" t="n">
        <f aca="false">IFERROR((PIB_niveau!D75-PIB_niveau!D71)/PIB_niveau!D71,"")</f>
        <v>0.0450854750283374</v>
      </c>
    </row>
    <row r="76" customFormat="false" ht="15" hidden="false" customHeight="true" outlineLevel="0" collapsed="false">
      <c r="A76" s="5" t="s">
        <v>109</v>
      </c>
      <c r="B76" s="5" t="n">
        <f aca="false">VALUE(LEFT(A76,4))</f>
        <v>1967</v>
      </c>
      <c r="C76" s="8" t="n">
        <v>0.010421125</v>
      </c>
      <c r="D76" s="8" t="n">
        <f aca="false">IFERROR((PIB_niveau!D76-PIB_niveau!D72)/PIB_niveau!D72,"")</f>
        <v>0.0498487862654233</v>
      </c>
    </row>
    <row r="77" customFormat="false" ht="15" hidden="false" customHeight="true" outlineLevel="0" collapsed="false">
      <c r="A77" s="5" t="s">
        <v>110</v>
      </c>
      <c r="B77" s="5" t="n">
        <f aca="false">VALUE(LEFT(A77,4))</f>
        <v>1968</v>
      </c>
      <c r="C77" s="8" t="n">
        <v>0.02803339</v>
      </c>
      <c r="D77" s="8" t="n">
        <f aca="false">IFERROR((PIB_niveau!D77-PIB_niveau!D73)/PIB_niveau!D73,"")</f>
        <v>0.0618749151468524</v>
      </c>
    </row>
    <row r="78" customFormat="false" ht="15" hidden="false" customHeight="true" outlineLevel="0" collapsed="false">
      <c r="A78" s="5" t="s">
        <v>111</v>
      </c>
      <c r="B78" s="5" t="n">
        <f aca="false">VALUE(LEFT(A78,4))</f>
        <v>1968</v>
      </c>
      <c r="C78" s="8" t="n">
        <v>-0.053235185</v>
      </c>
      <c r="D78" s="8" t="n">
        <f aca="false">IFERROR((PIB_niveau!D78-PIB_niveau!D74)/PIB_niveau!D74,"")</f>
        <v>-0.00655140223485546</v>
      </c>
    </row>
    <row r="79" customFormat="false" ht="15" hidden="false" customHeight="true" outlineLevel="0" collapsed="false">
      <c r="A79" s="5" t="s">
        <v>112</v>
      </c>
      <c r="B79" s="5" t="n">
        <f aca="false">VALUE(LEFT(A79,4))</f>
        <v>1968</v>
      </c>
      <c r="C79" s="8" t="n">
        <v>0.0806727312</v>
      </c>
      <c r="D79" s="8" t="n">
        <f aca="false">IFERROR((PIB_niveau!D79-PIB_niveau!D75)/PIB_niveau!D75,"")</f>
        <v>0.0627905175085219</v>
      </c>
    </row>
    <row r="80" customFormat="false" ht="15" hidden="false" customHeight="true" outlineLevel="0" collapsed="false">
      <c r="A80" s="5" t="s">
        <v>113</v>
      </c>
      <c r="B80" s="5" t="n">
        <f aca="false">VALUE(LEFT(A80,4))</f>
        <v>1968</v>
      </c>
      <c r="C80" s="8" t="n">
        <v>0.0109670766</v>
      </c>
      <c r="D80" s="8" t="n">
        <f aca="false">IFERROR((PIB_niveau!D80-PIB_niveau!D76)/PIB_niveau!D76,"")</f>
        <v>0.0633584525400337</v>
      </c>
    </row>
    <row r="81" customFormat="false" ht="15" hidden="false" customHeight="true" outlineLevel="0" collapsed="false">
      <c r="A81" s="5" t="s">
        <v>114</v>
      </c>
      <c r="B81" s="5" t="n">
        <f aca="false">VALUE(LEFT(A81,4))</f>
        <v>1969</v>
      </c>
      <c r="C81" s="8" t="n">
        <v>0.0092233757</v>
      </c>
      <c r="D81" s="8" t="n">
        <f aca="false">IFERROR((PIB_niveau!D81-PIB_niveau!D77)/PIB_niveau!D77,"")</f>
        <v>0.0439072205589354</v>
      </c>
    </row>
    <row r="82" customFormat="false" ht="15" hidden="false" customHeight="true" outlineLevel="0" collapsed="false">
      <c r="A82" s="5" t="s">
        <v>115</v>
      </c>
      <c r="B82" s="5" t="n">
        <f aca="false">VALUE(LEFT(A82,4))</f>
        <v>1969</v>
      </c>
      <c r="C82" s="8" t="n">
        <v>0.0208943025</v>
      </c>
      <c r="D82" s="8" t="n">
        <f aca="false">IFERROR((PIB_niveau!D82-PIB_niveau!D78)/PIB_niveau!D78,"")</f>
        <v>0.125640751515015</v>
      </c>
    </row>
    <row r="83" customFormat="false" ht="15" hidden="false" customHeight="true" outlineLevel="0" collapsed="false">
      <c r="A83" s="5" t="s">
        <v>116</v>
      </c>
      <c r="B83" s="5" t="n">
        <f aca="false">VALUE(LEFT(A83,4))</f>
        <v>1969</v>
      </c>
      <c r="C83" s="8" t="n">
        <v>0.0142721029</v>
      </c>
      <c r="D83" s="8" t="n">
        <f aca="false">IFERROR((PIB_niveau!D83-PIB_niveau!D79)/PIB_niveau!D79,"")</f>
        <v>0.0564722298876908</v>
      </c>
    </row>
    <row r="84" customFormat="false" ht="15" hidden="false" customHeight="true" outlineLevel="0" collapsed="false">
      <c r="A84" s="5" t="s">
        <v>117</v>
      </c>
      <c r="B84" s="5" t="n">
        <f aca="false">VALUE(LEFT(A84,4))</f>
        <v>1969</v>
      </c>
      <c r="C84" s="8" t="n">
        <v>0.0155486353</v>
      </c>
      <c r="D84" s="8" t="n">
        <f aca="false">IFERROR((PIB_niveau!D84-PIB_niveau!D80)/PIB_niveau!D80,"")</f>
        <v>0.0612623284320038</v>
      </c>
    </row>
    <row r="85" customFormat="false" ht="15" hidden="false" customHeight="true" outlineLevel="0" collapsed="false">
      <c r="A85" s="5" t="s">
        <v>118</v>
      </c>
      <c r="B85" s="5" t="n">
        <f aca="false">VALUE(LEFT(A85,4))</f>
        <v>1970</v>
      </c>
      <c r="C85" s="8" t="n">
        <v>0.0148121715</v>
      </c>
      <c r="D85" s="8" t="n">
        <f aca="false">IFERROR((PIB_niveau!D85-PIB_niveau!D81)/PIB_niveau!D81,"")</f>
        <v>0.0671375206679051</v>
      </c>
    </row>
    <row r="86" customFormat="false" ht="15" hidden="false" customHeight="true" outlineLevel="0" collapsed="false">
      <c r="A86" s="5" t="s">
        <v>119</v>
      </c>
      <c r="B86" s="5" t="n">
        <f aca="false">VALUE(LEFT(A86,4))</f>
        <v>1970</v>
      </c>
      <c r="C86" s="8" t="n">
        <v>0.0178836629</v>
      </c>
      <c r="D86" s="8" t="n">
        <f aca="false">IFERROR((PIB_niveau!D86-PIB_niveau!D82)/PIB_niveau!D82,"")</f>
        <v>0.0639940014996251</v>
      </c>
    </row>
    <row r="87" customFormat="false" ht="15" hidden="false" customHeight="true" outlineLevel="0" collapsed="false">
      <c r="A87" s="5" t="s">
        <v>120</v>
      </c>
      <c r="B87" s="5" t="n">
        <f aca="false">VALUE(LEFT(A87,4))</f>
        <v>1970</v>
      </c>
      <c r="C87" s="8" t="n">
        <v>0.0108258493</v>
      </c>
      <c r="D87" s="8" t="n">
        <f aca="false">IFERROR((PIB_niveau!D87-PIB_niveau!D83)/PIB_niveau!D83,"")</f>
        <v>0.0603780094132722</v>
      </c>
    </row>
    <row r="88" customFormat="false" ht="15" hidden="false" customHeight="true" outlineLevel="0" collapsed="false">
      <c r="A88" s="5" t="s">
        <v>121</v>
      </c>
      <c r="B88" s="5" t="n">
        <f aca="false">VALUE(LEFT(A88,4))</f>
        <v>1970</v>
      </c>
      <c r="C88" s="8" t="n">
        <v>0.0124197291</v>
      </c>
      <c r="D88" s="8" t="n">
        <f aca="false">IFERROR((PIB_niveau!D88-PIB_niveau!D84)/PIB_niveau!D84,"")</f>
        <v>0.0571144326895079</v>
      </c>
    </row>
    <row r="89" customFormat="false" ht="15" hidden="false" customHeight="true" outlineLevel="0" collapsed="false">
      <c r="A89" s="5" t="s">
        <v>122</v>
      </c>
      <c r="B89" s="5" t="n">
        <f aca="false">VALUE(LEFT(A89,4))</f>
        <v>1971</v>
      </c>
      <c r="C89" s="8" t="n">
        <v>0.0156799817</v>
      </c>
      <c r="D89" s="8" t="n">
        <f aca="false">IFERROR((PIB_niveau!D89-PIB_niveau!D85)/PIB_niveau!D85,"")</f>
        <v>0.0580167565706416</v>
      </c>
    </row>
    <row r="90" customFormat="false" ht="15" hidden="false" customHeight="true" outlineLevel="0" collapsed="false">
      <c r="A90" s="5" t="s">
        <v>123</v>
      </c>
      <c r="B90" s="5" t="n">
        <f aca="false">VALUE(LEFT(A90,4))</f>
        <v>1971</v>
      </c>
      <c r="C90" s="8" t="n">
        <v>0.0107825261</v>
      </c>
      <c r="D90" s="8" t="n">
        <f aca="false">IFERROR((PIB_niveau!D90-PIB_niveau!D86)/PIB_niveau!D86,"")</f>
        <v>0.0506361227519591</v>
      </c>
    </row>
    <row r="91" customFormat="false" ht="15" hidden="false" customHeight="true" outlineLevel="0" collapsed="false">
      <c r="A91" s="5" t="s">
        <v>124</v>
      </c>
      <c r="B91" s="5" t="n">
        <f aca="false">VALUE(LEFT(A91,4))</f>
        <v>1971</v>
      </c>
      <c r="C91" s="8" t="n">
        <v>0.0132881704</v>
      </c>
      <c r="D91" s="8" t="n">
        <f aca="false">IFERROR((PIB_niveau!D91-PIB_niveau!D87)/PIB_niveau!D87,"")</f>
        <v>0.0531939615906598</v>
      </c>
    </row>
    <row r="92" customFormat="false" ht="15" hidden="false" customHeight="true" outlineLevel="0" collapsed="false">
      <c r="A92" s="5" t="s">
        <v>125</v>
      </c>
      <c r="B92" s="5" t="n">
        <f aca="false">VALUE(LEFT(A92,4))</f>
        <v>1971</v>
      </c>
      <c r="C92" s="8" t="n">
        <v>0.0097151953</v>
      </c>
      <c r="D92" s="8" t="n">
        <f aca="false">IFERROR((PIB_niveau!D92-PIB_niveau!D88)/PIB_niveau!D88,"")</f>
        <v>0.0503789669878666</v>
      </c>
    </row>
    <row r="93" customFormat="false" ht="15" hidden="false" customHeight="true" outlineLevel="0" collapsed="false">
      <c r="A93" s="5" t="s">
        <v>126</v>
      </c>
      <c r="B93" s="5" t="n">
        <f aca="false">VALUE(LEFT(A93,4))</f>
        <v>1972</v>
      </c>
      <c r="C93" s="8" t="n">
        <v>0.0113177899</v>
      </c>
      <c r="D93" s="8" t="n">
        <f aca="false">IFERROR((PIB_niveau!D93-PIB_niveau!D89)/PIB_niveau!D89,"")</f>
        <v>0.0458679105422068</v>
      </c>
    </row>
    <row r="94" customFormat="false" ht="15" hidden="false" customHeight="true" outlineLevel="0" collapsed="false">
      <c r="A94" s="5" t="s">
        <v>127</v>
      </c>
      <c r="B94" s="5" t="n">
        <f aca="false">VALUE(LEFT(A94,4))</f>
        <v>1972</v>
      </c>
      <c r="C94" s="8" t="n">
        <v>0.0072913225</v>
      </c>
      <c r="D94" s="8" t="n">
        <f aca="false">IFERROR((PIB_niveau!D94-PIB_niveau!D90)/PIB_niveau!D90,"")</f>
        <v>0.0422528283325136</v>
      </c>
    </row>
    <row r="95" customFormat="false" ht="15" hidden="false" customHeight="true" outlineLevel="0" collapsed="false">
      <c r="A95" s="5" t="s">
        <v>128</v>
      </c>
      <c r="B95" s="5" t="n">
        <f aca="false">VALUE(LEFT(A95,4))</f>
        <v>1972</v>
      </c>
      <c r="C95" s="8" t="n">
        <v>0.0136173823</v>
      </c>
      <c r="D95" s="8" t="n">
        <f aca="false">IFERROR((PIB_niveau!D95-PIB_niveau!D91)/PIB_niveau!D91,"")</f>
        <v>0.0425946928742591</v>
      </c>
    </row>
    <row r="96" customFormat="false" ht="15" hidden="false" customHeight="true" outlineLevel="0" collapsed="false">
      <c r="A96" s="5" t="s">
        <v>129</v>
      </c>
      <c r="B96" s="5" t="n">
        <f aca="false">VALUE(LEFT(A96,4))</f>
        <v>1972</v>
      </c>
      <c r="C96" s="8" t="n">
        <v>0.0154036993</v>
      </c>
      <c r="D96" s="8" t="n">
        <f aca="false">IFERROR((PIB_niveau!D96-PIB_niveau!D92)/PIB_niveau!D92,"")</f>
        <v>0.0484696441917283</v>
      </c>
    </row>
    <row r="97" customFormat="false" ht="15" hidden="false" customHeight="true" outlineLevel="0" collapsed="false">
      <c r="A97" s="5" t="s">
        <v>130</v>
      </c>
      <c r="B97" s="5" t="n">
        <f aca="false">VALUE(LEFT(A97,4))</f>
        <v>1973</v>
      </c>
      <c r="C97" s="8" t="n">
        <v>0.0187026536</v>
      </c>
      <c r="D97" s="8" t="n">
        <f aca="false">IFERROR((PIB_niveau!D97-PIB_niveau!D93)/PIB_niveau!D93,"")</f>
        <v>0.0561255358871525</v>
      </c>
    </row>
    <row r="98" customFormat="false" ht="15" hidden="false" customHeight="true" outlineLevel="0" collapsed="false">
      <c r="A98" s="5" t="s">
        <v>131</v>
      </c>
      <c r="B98" s="5" t="n">
        <f aca="false">VALUE(LEFT(A98,4))</f>
        <v>1973</v>
      </c>
      <c r="C98" s="8" t="n">
        <v>0.0146071526</v>
      </c>
      <c r="D98" s="8" t="n">
        <f aca="false">IFERROR((PIB_niveau!D98-PIB_niveau!D94)/PIB_niveau!D94,"")</f>
        <v>0.0637981113699647</v>
      </c>
    </row>
    <row r="99" customFormat="false" ht="15" hidden="false" customHeight="true" outlineLevel="0" collapsed="false">
      <c r="A99" s="5" t="s">
        <v>132</v>
      </c>
      <c r="B99" s="5" t="n">
        <f aca="false">VALUE(LEFT(A99,4))</f>
        <v>1973</v>
      </c>
      <c r="C99" s="8" t="n">
        <v>0.0158807845</v>
      </c>
      <c r="D99" s="8" t="n">
        <f aca="false">IFERROR((PIB_niveau!D99-PIB_niveau!D95)/PIB_niveau!D95,"")</f>
        <v>0.0661748210604734</v>
      </c>
    </row>
    <row r="100" customFormat="false" ht="15" hidden="false" customHeight="true" outlineLevel="0" collapsed="false">
      <c r="A100" s="5" t="s">
        <v>133</v>
      </c>
      <c r="B100" s="5" t="n">
        <f aca="false">VALUE(LEFT(A100,4))</f>
        <v>1973</v>
      </c>
      <c r="C100" s="8" t="n">
        <v>0.0121007613</v>
      </c>
      <c r="D100" s="8" t="n">
        <f aca="false">IFERROR((PIB_niveau!D100-PIB_niveau!D96)/PIB_niveau!D96,"")</f>
        <v>0.0627029550674676</v>
      </c>
    </row>
    <row r="101" customFormat="false" ht="15" hidden="false" customHeight="true" outlineLevel="0" collapsed="false">
      <c r="A101" s="5" t="s">
        <v>134</v>
      </c>
      <c r="B101" s="5" t="n">
        <f aca="false">VALUE(LEFT(A101,4))</f>
        <v>1974</v>
      </c>
      <c r="C101" s="8" t="n">
        <v>0.0164083805</v>
      </c>
      <c r="D101" s="8" t="n">
        <f aca="false">IFERROR((PIB_niveau!D101-PIB_niveau!D97)/PIB_niveau!D97,"")</f>
        <v>0.0603120562732477</v>
      </c>
    </row>
    <row r="102" customFormat="false" ht="15" hidden="false" customHeight="true" outlineLevel="0" collapsed="false">
      <c r="A102" s="5" t="s">
        <v>135</v>
      </c>
      <c r="B102" s="5" t="n">
        <f aca="false">VALUE(LEFT(A102,4))</f>
        <v>1974</v>
      </c>
      <c r="C102" s="8" t="n">
        <v>0.007054996</v>
      </c>
      <c r="D102" s="8" t="n">
        <f aca="false">IFERROR((PIB_niveau!D102-PIB_niveau!D98)/PIB_niveau!D98,"")</f>
        <v>0.0524180375803089</v>
      </c>
    </row>
    <row r="103" customFormat="false" ht="15" hidden="false" customHeight="true" outlineLevel="0" collapsed="false">
      <c r="A103" s="5" t="s">
        <v>136</v>
      </c>
      <c r="B103" s="5" t="n">
        <f aca="false">VALUE(LEFT(A103,4))</f>
        <v>1974</v>
      </c>
      <c r="C103" s="8" t="n">
        <v>0.0110943881</v>
      </c>
      <c r="D103" s="8" t="n">
        <f aca="false">IFERROR((PIB_niveau!D103-PIB_niveau!D99)/PIB_niveau!D99,"")</f>
        <v>0.04745778861156</v>
      </c>
    </row>
    <row r="104" customFormat="false" ht="15" hidden="false" customHeight="true" outlineLevel="0" collapsed="false">
      <c r="A104" s="5" t="s">
        <v>137</v>
      </c>
      <c r="B104" s="5" t="n">
        <f aca="false">VALUE(LEFT(A104,4))</f>
        <v>1974</v>
      </c>
      <c r="C104" s="8" t="n">
        <v>-0.0178393401</v>
      </c>
      <c r="D104" s="8" t="n">
        <f aca="false">IFERROR((PIB_niveau!D104-PIB_niveau!D100)/PIB_niveau!D100,"")</f>
        <v>0.0164708651224822</v>
      </c>
    </row>
    <row r="105" customFormat="false" ht="15" hidden="false" customHeight="true" outlineLevel="0" collapsed="false">
      <c r="A105" s="5" t="s">
        <v>138</v>
      </c>
      <c r="B105" s="5" t="n">
        <f aca="false">VALUE(LEFT(A105,4))</f>
        <v>1975</v>
      </c>
      <c r="C105" s="8" t="n">
        <v>-0.0077165965</v>
      </c>
      <c r="D105" s="8" t="n">
        <f aca="false">IFERROR((PIB_niveau!D105-PIB_niveau!D101)/PIB_niveau!D101,"")</f>
        <v>-0.00765674325982749</v>
      </c>
    </row>
    <row r="106" customFormat="false" ht="15" hidden="false" customHeight="true" outlineLevel="0" collapsed="false">
      <c r="A106" s="5" t="s">
        <v>139</v>
      </c>
      <c r="B106" s="5" t="n">
        <f aca="false">VALUE(LEFT(A106,4))</f>
        <v>1975</v>
      </c>
      <c r="C106" s="8" t="n">
        <v>-0.0003236578</v>
      </c>
      <c r="D106" s="8" t="n">
        <f aca="false">IFERROR((PIB_niveau!D106-PIB_niveau!D102)/PIB_niveau!D102,"")</f>
        <v>-0.0149264598805885</v>
      </c>
    </row>
    <row r="107" customFormat="false" ht="15" hidden="false" customHeight="true" outlineLevel="0" collapsed="false">
      <c r="A107" s="5" t="s">
        <v>140</v>
      </c>
      <c r="B107" s="5" t="n">
        <f aca="false">VALUE(LEFT(A107,4))</f>
        <v>1975</v>
      </c>
      <c r="C107" s="8" t="n">
        <v>-0.0006530488</v>
      </c>
      <c r="D107" s="8" t="n">
        <f aca="false">IFERROR((PIB_niveau!D107-PIB_niveau!D103)/PIB_niveau!D103,"")</f>
        <v>-0.0263719437085215</v>
      </c>
    </row>
    <row r="108" customFormat="false" ht="15" hidden="false" customHeight="true" outlineLevel="0" collapsed="false">
      <c r="A108" s="5" t="s">
        <v>141</v>
      </c>
      <c r="B108" s="5" t="n">
        <f aca="false">VALUE(LEFT(A108,4))</f>
        <v>1975</v>
      </c>
      <c r="C108" s="8" t="n">
        <v>0.0213833107</v>
      </c>
      <c r="D108" s="8" t="n">
        <f aca="false">IFERROR((PIB_niveau!D108-PIB_niveau!D104)/PIB_niveau!D104,"")</f>
        <v>0.0125109016956477</v>
      </c>
    </row>
    <row r="109" customFormat="false" ht="15" hidden="false" customHeight="true" outlineLevel="0" collapsed="false">
      <c r="A109" s="5" t="s">
        <v>142</v>
      </c>
      <c r="B109" s="5" t="n">
        <f aca="false">VALUE(LEFT(A109,4))</f>
        <v>1976</v>
      </c>
      <c r="C109" s="8" t="n">
        <v>0.0094317097</v>
      </c>
      <c r="D109" s="8" t="n">
        <f aca="false">IFERROR((PIB_niveau!D109-PIB_niveau!D105)/PIB_niveau!D105,"")</f>
        <v>0.0300115892880754</v>
      </c>
    </row>
    <row r="110" customFormat="false" ht="15" hidden="false" customHeight="true" outlineLevel="0" collapsed="false">
      <c r="A110" s="5" t="s">
        <v>143</v>
      </c>
      <c r="B110" s="5" t="n">
        <f aca="false">VALUE(LEFT(A110,4))</f>
        <v>1976</v>
      </c>
      <c r="C110" s="8" t="n">
        <v>0.0136724184</v>
      </c>
      <c r="D110" s="8" t="n">
        <f aca="false">IFERROR((PIB_niveau!D110-PIB_niveau!D106)/PIB_niveau!D106,"")</f>
        <v>0.044430871694722</v>
      </c>
    </row>
    <row r="111" customFormat="false" ht="15" hidden="false" customHeight="true" outlineLevel="0" collapsed="false">
      <c r="A111" s="5" t="s">
        <v>144</v>
      </c>
      <c r="B111" s="5" t="n">
        <f aca="false">VALUE(LEFT(A111,4))</f>
        <v>1976</v>
      </c>
      <c r="C111" s="8" t="n">
        <v>0.0114118601</v>
      </c>
      <c r="D111" s="8" t="n">
        <f aca="false">IFERROR((PIB_niveau!D111-PIB_niveau!D107)/PIB_niveau!D107,"")</f>
        <v>0.057041532526481</v>
      </c>
    </row>
    <row r="112" customFormat="false" ht="15" hidden="false" customHeight="true" outlineLevel="0" collapsed="false">
      <c r="A112" s="5" t="s">
        <v>145</v>
      </c>
      <c r="B112" s="5" t="n">
        <f aca="false">VALUE(LEFT(A112,4))</f>
        <v>1976</v>
      </c>
      <c r="C112" s="8" t="n">
        <v>0.0070600343</v>
      </c>
      <c r="D112" s="8" t="n">
        <f aca="false">IFERROR((PIB_niveau!D112-PIB_niveau!D108)/PIB_niveau!D108,"")</f>
        <v>0.0422180382352044</v>
      </c>
    </row>
    <row r="113" customFormat="false" ht="15" hidden="false" customHeight="true" outlineLevel="0" collapsed="false">
      <c r="A113" s="5" t="s">
        <v>146</v>
      </c>
      <c r="B113" s="5" t="n">
        <f aca="false">VALUE(LEFT(A113,4))</f>
        <v>1977</v>
      </c>
      <c r="C113" s="8" t="n">
        <v>0.0113163312</v>
      </c>
      <c r="D113" s="8" t="n">
        <f aca="false">IFERROR((PIB_niveau!D113-PIB_niveau!D109)/PIB_niveau!D109,"")</f>
        <v>0.0441606790233</v>
      </c>
    </row>
    <row r="114" customFormat="false" ht="15" hidden="false" customHeight="true" outlineLevel="0" collapsed="false">
      <c r="A114" s="5" t="s">
        <v>147</v>
      </c>
      <c r="B114" s="5" t="n">
        <f aca="false">VALUE(LEFT(A114,4))</f>
        <v>1977</v>
      </c>
      <c r="C114" s="8" t="n">
        <v>0.0040065206</v>
      </c>
      <c r="D114" s="8" t="n">
        <f aca="false">IFERROR((PIB_niveau!D114-PIB_niveau!D110)/PIB_niveau!D110,"")</f>
        <v>0.0342046842873745</v>
      </c>
    </row>
    <row r="115" customFormat="false" ht="15" hidden="false" customHeight="true" outlineLevel="0" collapsed="false">
      <c r="A115" s="5" t="s">
        <v>148</v>
      </c>
      <c r="B115" s="5" t="n">
        <f aca="false">VALUE(LEFT(A115,4))</f>
        <v>1977</v>
      </c>
      <c r="C115" s="8" t="n">
        <v>0.0081825907</v>
      </c>
      <c r="D115" s="8" t="n">
        <f aca="false">IFERROR((PIB_niveau!D115-PIB_niveau!D111)/PIB_niveau!D111,"")</f>
        <v>0.030901979847976</v>
      </c>
    </row>
    <row r="116" customFormat="false" ht="15" hidden="false" customHeight="true" outlineLevel="0" collapsed="false">
      <c r="A116" s="5" t="s">
        <v>149</v>
      </c>
      <c r="B116" s="5" t="n">
        <f aca="false">VALUE(LEFT(A116,4))</f>
        <v>1977</v>
      </c>
      <c r="C116" s="8" t="n">
        <v>0.0079771785</v>
      </c>
      <c r="D116" s="8" t="n">
        <f aca="false">IFERROR((PIB_niveau!D116-PIB_niveau!D112)/PIB_niveau!D112,"")</f>
        <v>0.0318409379308329</v>
      </c>
    </row>
    <row r="117" customFormat="false" ht="15" hidden="false" customHeight="true" outlineLevel="0" collapsed="false">
      <c r="A117" s="5" t="s">
        <v>150</v>
      </c>
      <c r="B117" s="5" t="n">
        <f aca="false">VALUE(LEFT(A117,4))</f>
        <v>1978</v>
      </c>
      <c r="C117" s="8" t="n">
        <v>0.0138290912</v>
      </c>
      <c r="D117" s="8" t="n">
        <f aca="false">IFERROR((PIB_niveau!D117-PIB_niveau!D113)/PIB_niveau!D113,"")</f>
        <v>0.034406448090198</v>
      </c>
    </row>
    <row r="118" customFormat="false" ht="15" hidden="false" customHeight="true" outlineLevel="0" collapsed="false">
      <c r="A118" s="5" t="s">
        <v>151</v>
      </c>
      <c r="B118" s="5" t="n">
        <f aca="false">VALUE(LEFT(A118,4))</f>
        <v>1978</v>
      </c>
      <c r="C118" s="8" t="n">
        <v>0.0108964662</v>
      </c>
      <c r="D118" s="8" t="n">
        <f aca="false">IFERROR((PIB_niveau!D118-PIB_niveau!D114)/PIB_niveau!D114,"")</f>
        <v>0.041504745097333</v>
      </c>
    </row>
    <row r="119" customFormat="false" ht="15" hidden="false" customHeight="true" outlineLevel="0" collapsed="false">
      <c r="A119" s="5" t="s">
        <v>152</v>
      </c>
      <c r="B119" s="5" t="n">
        <f aca="false">VALUE(LEFT(A119,4))</f>
        <v>1978</v>
      </c>
      <c r="C119" s="8" t="n">
        <v>0.0062225827</v>
      </c>
      <c r="D119" s="8" t="n">
        <f aca="false">IFERROR((PIB_niveau!D119-PIB_niveau!D115)/PIB_niveau!D115,"")</f>
        <v>0.0394817220203838</v>
      </c>
    </row>
    <row r="120" customFormat="false" ht="15" hidden="false" customHeight="true" outlineLevel="0" collapsed="false">
      <c r="A120" s="5" t="s">
        <v>153</v>
      </c>
      <c r="B120" s="5" t="n">
        <f aca="false">VALUE(LEFT(A120,4))</f>
        <v>1978</v>
      </c>
      <c r="C120" s="8" t="n">
        <v>0.0113921529</v>
      </c>
      <c r="D120" s="8" t="n">
        <f aca="false">IFERROR((PIB_niveau!D120-PIB_niveau!D116)/PIB_niveau!D116,"")</f>
        <v>0.0430039693790755</v>
      </c>
    </row>
    <row r="121" customFormat="false" ht="15" hidden="false" customHeight="true" outlineLevel="0" collapsed="false">
      <c r="A121" s="5" t="s">
        <v>154</v>
      </c>
      <c r="B121" s="5" t="n">
        <f aca="false">VALUE(LEFT(A121,4))</f>
        <v>1979</v>
      </c>
      <c r="C121" s="8" t="n">
        <v>0.0110708874</v>
      </c>
      <c r="D121" s="8" t="n">
        <f aca="false">IFERROR((PIB_niveau!D121-PIB_niveau!D117)/PIB_niveau!D117,"")</f>
        <v>0.0401661178345953</v>
      </c>
    </row>
    <row r="122" customFormat="false" ht="15" hidden="false" customHeight="true" outlineLevel="0" collapsed="false">
      <c r="A122" s="5" t="s">
        <v>155</v>
      </c>
      <c r="B122" s="5" t="n">
        <f aca="false">VALUE(LEFT(A122,4))</f>
        <v>1979</v>
      </c>
      <c r="C122" s="8" t="n">
        <v>0.0051040439</v>
      </c>
      <c r="D122" s="8" t="n">
        <f aca="false">IFERROR((PIB_niveau!D122-PIB_niveau!D118)/PIB_niveau!D118,"")</f>
        <v>0.034207186552274</v>
      </c>
    </row>
    <row r="123" customFormat="false" ht="15" hidden="false" customHeight="true" outlineLevel="0" collapsed="false">
      <c r="A123" s="5" t="s">
        <v>156</v>
      </c>
      <c r="B123" s="5" t="n">
        <f aca="false">VALUE(LEFT(A123,4))</f>
        <v>1979</v>
      </c>
      <c r="C123" s="8" t="n">
        <v>0.0128720322</v>
      </c>
      <c r="D123" s="8" t="n">
        <f aca="false">IFERROR((PIB_niveau!D123-PIB_niveau!D119)/PIB_niveau!D119,"")</f>
        <v>0.0410373257176636</v>
      </c>
    </row>
    <row r="124" customFormat="false" ht="15" hidden="false" customHeight="true" outlineLevel="0" collapsed="false">
      <c r="A124" s="5" t="s">
        <v>157</v>
      </c>
      <c r="B124" s="5" t="n">
        <f aca="false">VALUE(LEFT(A124,4))</f>
        <v>1979</v>
      </c>
      <c r="C124" s="8" t="n">
        <v>0.0034701148</v>
      </c>
      <c r="D124" s="8" t="n">
        <f aca="false">IFERROR((PIB_niveau!D124-PIB_niveau!D120)/PIB_niveau!D120,"")</f>
        <v>0.0328820839024921</v>
      </c>
    </row>
    <row r="125" customFormat="false" ht="15" hidden="false" customHeight="true" outlineLevel="0" collapsed="false">
      <c r="A125" s="5" t="s">
        <v>158</v>
      </c>
      <c r="B125" s="5" t="n">
        <f aca="false">VALUE(LEFT(A125,4))</f>
        <v>1980</v>
      </c>
      <c r="C125" s="8" t="n">
        <v>0.01185105</v>
      </c>
      <c r="D125" s="8" t="n">
        <f aca="false">IFERROR((PIB_niveau!D125-PIB_niveau!D121)/PIB_niveau!D121,"")</f>
        <v>0.0336815077700704</v>
      </c>
    </row>
    <row r="126" customFormat="false" ht="15" hidden="false" customHeight="true" outlineLevel="0" collapsed="false">
      <c r="A126" s="5" t="s">
        <v>159</v>
      </c>
      <c r="B126" s="5" t="n">
        <f aca="false">VALUE(LEFT(A126,4))</f>
        <v>1980</v>
      </c>
      <c r="C126" s="8" t="n">
        <v>-0.008055002</v>
      </c>
      <c r="D126" s="8" t="n">
        <f aca="false">IFERROR((PIB_niveau!D126-PIB_niveau!D122)/PIB_niveau!D122,"")</f>
        <v>0.0201457179064502</v>
      </c>
    </row>
    <row r="127" customFormat="false" ht="15" hidden="false" customHeight="true" outlineLevel="0" collapsed="false">
      <c r="A127" s="5" t="s">
        <v>160</v>
      </c>
      <c r="B127" s="5" t="n">
        <f aca="false">VALUE(LEFT(A127,4))</f>
        <v>1980</v>
      </c>
      <c r="C127" s="8" t="n">
        <v>0.0015117606</v>
      </c>
      <c r="D127" s="8" t="n">
        <f aca="false">IFERROR((PIB_niveau!D127-PIB_niveau!D123)/PIB_niveau!D123,"")</f>
        <v>0.00870526871781329</v>
      </c>
    </row>
    <row r="128" customFormat="false" ht="15" hidden="false" customHeight="true" outlineLevel="0" collapsed="false">
      <c r="A128" s="5" t="s">
        <v>161</v>
      </c>
      <c r="B128" s="5" t="n">
        <f aca="false">VALUE(LEFT(A128,4))</f>
        <v>1980</v>
      </c>
      <c r="C128" s="8" t="n">
        <v>-0.0015612374</v>
      </c>
      <c r="D128" s="8" t="n">
        <f aca="false">IFERROR((PIB_niveau!D128-PIB_niveau!D124)/PIB_niveau!D124,"")</f>
        <v>0.00364837435150057</v>
      </c>
    </row>
    <row r="129" customFormat="false" ht="15" hidden="false" customHeight="true" outlineLevel="0" collapsed="false">
      <c r="A129" s="5" t="s">
        <v>162</v>
      </c>
      <c r="B129" s="5" t="n">
        <f aca="false">VALUE(LEFT(A129,4))</f>
        <v>1981</v>
      </c>
      <c r="C129" s="8" t="n">
        <v>0.0037172657</v>
      </c>
      <c r="D129" s="8" t="n">
        <f aca="false">IFERROR((PIB_niveau!D129-PIB_niveau!D125)/PIB_niveau!D125,"")</f>
        <v>-0.0044217001437053</v>
      </c>
    </row>
    <row r="130" customFormat="false" ht="15" hidden="false" customHeight="true" outlineLevel="0" collapsed="false">
      <c r="A130" s="5" t="s">
        <v>163</v>
      </c>
      <c r="B130" s="5" t="n">
        <f aca="false">VALUE(LEFT(A130,4))</f>
        <v>1981</v>
      </c>
      <c r="C130" s="8" t="n">
        <v>0.0075612474</v>
      </c>
      <c r="D130" s="8" t="n">
        <f aca="false">IFERROR((PIB_niveau!D130-PIB_niveau!D126)/PIB_niveau!D126,"")</f>
        <v>0.0112554736869706</v>
      </c>
    </row>
    <row r="131" customFormat="false" ht="15" hidden="false" customHeight="true" outlineLevel="0" collapsed="false">
      <c r="A131" s="5" t="s">
        <v>164</v>
      </c>
      <c r="B131" s="5" t="n">
        <f aca="false">VALUE(LEFT(A131,4))</f>
        <v>1981</v>
      </c>
      <c r="C131" s="8" t="n">
        <v>0.0067154643</v>
      </c>
      <c r="D131" s="8" t="n">
        <f aca="false">IFERROR((PIB_niveau!D131-PIB_niveau!D127)/PIB_niveau!D127,"")</f>
        <v>0.0165108310397077</v>
      </c>
    </row>
    <row r="132" customFormat="false" ht="15" hidden="false" customHeight="true" outlineLevel="0" collapsed="false">
      <c r="A132" s="5" t="s">
        <v>165</v>
      </c>
      <c r="B132" s="5" t="n">
        <f aca="false">VALUE(LEFT(A132,4))</f>
        <v>1981</v>
      </c>
      <c r="C132" s="8" t="n">
        <v>0.0060293114</v>
      </c>
      <c r="D132" s="8" t="n">
        <f aca="false">IFERROR((PIB_niveau!D132-PIB_niveau!D128)/PIB_niveau!D128,"")</f>
        <v>0.0242362658974695</v>
      </c>
    </row>
    <row r="133" customFormat="false" ht="15" hidden="false" customHeight="true" outlineLevel="0" collapsed="false">
      <c r="A133" s="5" t="s">
        <v>166</v>
      </c>
      <c r="B133" s="5" t="n">
        <f aca="false">VALUE(LEFT(A133,4))</f>
        <v>1982</v>
      </c>
      <c r="C133" s="8" t="n">
        <v>0.0075638884</v>
      </c>
      <c r="D133" s="8" t="n">
        <f aca="false">IFERROR((PIB_niveau!D133-PIB_niveau!D129)/PIB_niveau!D129,"")</f>
        <v>0.0281633106259022</v>
      </c>
    </row>
    <row r="134" customFormat="false" ht="15" hidden="false" customHeight="true" outlineLevel="0" collapsed="false">
      <c r="A134" s="5" t="s">
        <v>167</v>
      </c>
      <c r="B134" s="5" t="n">
        <f aca="false">VALUE(LEFT(A134,4))</f>
        <v>1982</v>
      </c>
      <c r="C134" s="8" t="n">
        <v>0.0070863333</v>
      </c>
      <c r="D134" s="8" t="n">
        <f aca="false">IFERROR((PIB_niveau!D134-PIB_niveau!D130)/PIB_niveau!D130,"")</f>
        <v>0.0276764009982823</v>
      </c>
    </row>
    <row r="135" customFormat="false" ht="15" hidden="false" customHeight="true" outlineLevel="0" collapsed="false">
      <c r="A135" s="5" t="s">
        <v>168</v>
      </c>
      <c r="B135" s="5" t="n">
        <f aca="false">VALUE(LEFT(A135,4))</f>
        <v>1982</v>
      </c>
      <c r="C135" s="8" t="n">
        <v>-0.000581782</v>
      </c>
      <c r="D135" s="8" t="n">
        <f aca="false">IFERROR((PIB_niveau!D135-PIB_niveau!D131)/PIB_niveau!D131,"")</f>
        <v>0.0202284595720569</v>
      </c>
    </row>
    <row r="136" customFormat="false" ht="15" hidden="false" customHeight="true" outlineLevel="0" collapsed="false">
      <c r="A136" s="5" t="s">
        <v>169</v>
      </c>
      <c r="B136" s="5" t="n">
        <f aca="false">VALUE(LEFT(A136,4))</f>
        <v>1982</v>
      </c>
      <c r="C136" s="8" t="n">
        <v>0.0059877775</v>
      </c>
      <c r="D136" s="8" t="n">
        <f aca="false">IFERROR((PIB_niveau!D136-PIB_niveau!D132)/PIB_niveau!D132,"")</f>
        <v>0.0201872795816612</v>
      </c>
    </row>
    <row r="137" customFormat="false" ht="15" hidden="false" customHeight="true" outlineLevel="0" collapsed="false">
      <c r="A137" s="5" t="s">
        <v>170</v>
      </c>
      <c r="B137" s="5" t="n">
        <f aca="false">VALUE(LEFT(A137,4))</f>
        <v>1983</v>
      </c>
      <c r="C137" s="8" t="n">
        <v>0.0038438694</v>
      </c>
      <c r="D137" s="8" t="n">
        <f aca="false">IFERROR((PIB_niveau!D137-PIB_niveau!D133)/PIB_niveau!D133,"")</f>
        <v>0.0164179673355821</v>
      </c>
    </row>
    <row r="138" customFormat="false" ht="15" hidden="false" customHeight="true" outlineLevel="0" collapsed="false">
      <c r="A138" s="5" t="s">
        <v>171</v>
      </c>
      <c r="B138" s="5" t="n">
        <f aca="false">VALUE(LEFT(A138,4))</f>
        <v>1983</v>
      </c>
      <c r="C138" s="8" t="n">
        <v>0.0005470088</v>
      </c>
      <c r="D138" s="8" t="n">
        <f aca="false">IFERROR((PIB_niveau!D138-PIB_niveau!D134)/PIB_niveau!D134,"")</f>
        <v>0.00981805222207153</v>
      </c>
    </row>
    <row r="139" customFormat="false" ht="15" hidden="false" customHeight="true" outlineLevel="0" collapsed="false">
      <c r="A139" s="5" t="s">
        <v>172</v>
      </c>
      <c r="B139" s="5" t="n">
        <f aca="false">VALUE(LEFT(A139,4))</f>
        <v>1983</v>
      </c>
      <c r="C139" s="8" t="n">
        <v>0.0016054138</v>
      </c>
      <c r="D139" s="8" t="n">
        <f aca="false">IFERROR((PIB_niveau!D139-PIB_niveau!D135)/PIB_niveau!D135,"")</f>
        <v>0.0120264449248151</v>
      </c>
    </row>
    <row r="140" customFormat="false" ht="15" hidden="false" customHeight="true" outlineLevel="0" collapsed="false">
      <c r="A140" s="5" t="s">
        <v>173</v>
      </c>
      <c r="B140" s="5" t="n">
        <f aca="false">VALUE(LEFT(A140,4))</f>
        <v>1983</v>
      </c>
      <c r="C140" s="8" t="n">
        <v>0.0062233644</v>
      </c>
      <c r="D140" s="8" t="n">
        <f aca="false">IFERROR((PIB_niveau!D140-PIB_niveau!D136)/PIB_niveau!D136,"")</f>
        <v>0.0122654353131608</v>
      </c>
    </row>
    <row r="141" customFormat="false" ht="15" hidden="false" customHeight="true" outlineLevel="0" collapsed="false">
      <c r="A141" s="5" t="s">
        <v>174</v>
      </c>
      <c r="B141" s="5" t="n">
        <f aca="false">VALUE(LEFT(A141,4))</f>
        <v>1984</v>
      </c>
      <c r="C141" s="8" t="n">
        <v>0.0044524589</v>
      </c>
      <c r="D141" s="8" t="n">
        <f aca="false">IFERROR((PIB_niveau!D141-PIB_niveau!D137)/PIB_niveau!D137,"")</f>
        <v>0.01288096822882</v>
      </c>
    </row>
    <row r="142" customFormat="false" ht="15" hidden="false" customHeight="true" outlineLevel="0" collapsed="false">
      <c r="A142" s="5" t="s">
        <v>175</v>
      </c>
      <c r="B142" s="5" t="n">
        <f aca="false">VALUE(LEFT(A142,4))</f>
        <v>1984</v>
      </c>
      <c r="C142" s="8" t="n">
        <v>0.0047600537</v>
      </c>
      <c r="D142" s="8" t="n">
        <f aca="false">IFERROR((PIB_niveau!D142-PIB_niveau!D138)/PIB_niveau!D138,"")</f>
        <v>0.0171464979293027</v>
      </c>
    </row>
    <row r="143" customFormat="false" ht="15" hidden="false" customHeight="true" outlineLevel="0" collapsed="false">
      <c r="A143" s="5" t="s">
        <v>176</v>
      </c>
      <c r="B143" s="5" t="n">
        <f aca="false">VALUE(LEFT(A143,4))</f>
        <v>1984</v>
      </c>
      <c r="C143" s="8" t="n">
        <v>0.0064644989</v>
      </c>
      <c r="D143" s="8" t="n">
        <f aca="false">IFERROR((PIB_niveau!D143-PIB_niveau!D139)/PIB_niveau!D139,"")</f>
        <v>0.0220801007808016</v>
      </c>
    </row>
    <row r="144" customFormat="false" ht="15" hidden="false" customHeight="true" outlineLevel="0" collapsed="false">
      <c r="A144" s="5" t="s">
        <v>177</v>
      </c>
      <c r="B144" s="5" t="n">
        <f aca="false">VALUE(LEFT(A144,4))</f>
        <v>1984</v>
      </c>
      <c r="C144" s="8" t="n">
        <v>-0.0009214965</v>
      </c>
      <c r="D144" s="8" t="n">
        <f aca="false">IFERROR((PIB_niveau!D144-PIB_niveau!D140)/PIB_niveau!D140,"")</f>
        <v>0.0148221833822965</v>
      </c>
    </row>
    <row r="145" customFormat="false" ht="15" hidden="false" customHeight="true" outlineLevel="0" collapsed="false">
      <c r="A145" s="5" t="s">
        <v>178</v>
      </c>
      <c r="B145" s="5" t="n">
        <f aca="false">VALUE(LEFT(A145,4))</f>
        <v>1985</v>
      </c>
      <c r="C145" s="8" t="n">
        <v>0.0025070584</v>
      </c>
      <c r="D145" s="8" t="n">
        <f aca="false">IFERROR((PIB_niveau!D145-PIB_niveau!D141)/PIB_niveau!D141,"")</f>
        <v>0.012855992521496</v>
      </c>
    </row>
    <row r="146" customFormat="false" ht="15" hidden="false" customHeight="true" outlineLevel="0" collapsed="false">
      <c r="A146" s="5" t="s">
        <v>179</v>
      </c>
      <c r="B146" s="5" t="n">
        <f aca="false">VALUE(LEFT(A146,4))</f>
        <v>1985</v>
      </c>
      <c r="C146" s="8" t="n">
        <v>0.0083172122</v>
      </c>
      <c r="D146" s="8" t="n">
        <f aca="false">IFERROR((PIB_niveau!D146-PIB_niveau!D142)/PIB_niveau!D142,"")</f>
        <v>0.0164429241691025</v>
      </c>
    </row>
    <row r="147" customFormat="false" ht="15" hidden="false" customHeight="true" outlineLevel="0" collapsed="false">
      <c r="A147" s="5" t="s">
        <v>180</v>
      </c>
      <c r="B147" s="5" t="n">
        <f aca="false">VALUE(LEFT(A147,4))</f>
        <v>1985</v>
      </c>
      <c r="C147" s="8" t="n">
        <v>0.0057215914</v>
      </c>
      <c r="D147" s="8" t="n">
        <f aca="false">IFERROR((PIB_niveau!D147-PIB_niveau!D143)/PIB_niveau!D143,"")</f>
        <v>0.0156935965610766</v>
      </c>
    </row>
    <row r="148" customFormat="false" ht="15" hidden="false" customHeight="true" outlineLevel="0" collapsed="false">
      <c r="A148" s="5" t="s">
        <v>181</v>
      </c>
      <c r="B148" s="5" t="n">
        <f aca="false">VALUE(LEFT(A148,4))</f>
        <v>1985</v>
      </c>
      <c r="C148" s="8" t="n">
        <v>0.0050504995</v>
      </c>
      <c r="D148" s="8" t="n">
        <f aca="false">IFERROR((PIB_niveau!D148-PIB_niveau!D144)/PIB_niveau!D144,"")</f>
        <v>0.0217634933964423</v>
      </c>
    </row>
    <row r="149" customFormat="false" ht="15" hidden="false" customHeight="true" outlineLevel="0" collapsed="false">
      <c r="A149" s="5" t="s">
        <v>182</v>
      </c>
      <c r="B149" s="5" t="n">
        <f aca="false">VALUE(LEFT(A149,4))</f>
        <v>1986</v>
      </c>
      <c r="C149" s="8" t="n">
        <v>0.0030888314</v>
      </c>
      <c r="D149" s="8" t="n">
        <f aca="false">IFERROR((PIB_niveau!D149-PIB_niveau!D145)/PIB_niveau!D145,"")</f>
        <v>0.0223578721641447</v>
      </c>
    </row>
    <row r="150" customFormat="false" ht="15" hidden="false" customHeight="true" outlineLevel="0" collapsed="false">
      <c r="A150" s="5" t="s">
        <v>183</v>
      </c>
      <c r="B150" s="5" t="n">
        <f aca="false">VALUE(LEFT(A150,4))</f>
        <v>1986</v>
      </c>
      <c r="C150" s="8" t="n">
        <v>0.0109725814</v>
      </c>
      <c r="D150" s="8" t="n">
        <f aca="false">IFERROR((PIB_niveau!D150-PIB_niveau!D146)/PIB_niveau!D146,"")</f>
        <v>0.0250462953173004</v>
      </c>
    </row>
    <row r="151" customFormat="false" ht="15" hidden="false" customHeight="true" outlineLevel="0" collapsed="false">
      <c r="A151" s="5" t="s">
        <v>184</v>
      </c>
      <c r="B151" s="5" t="n">
        <f aca="false">VALUE(LEFT(A151,4))</f>
        <v>1986</v>
      </c>
      <c r="C151" s="8" t="n">
        <v>0.0054275375</v>
      </c>
      <c r="D151" s="8" t="n">
        <f aca="false">IFERROR((PIB_niveau!D151-PIB_niveau!D147)/PIB_niveau!D147,"")</f>
        <v>0.02474761279703</v>
      </c>
    </row>
    <row r="152" customFormat="false" ht="15" hidden="false" customHeight="true" outlineLevel="0" collapsed="false">
      <c r="A152" s="5" t="s">
        <v>185</v>
      </c>
      <c r="B152" s="5" t="n">
        <f aca="false">VALUE(LEFT(A152,4))</f>
        <v>1986</v>
      </c>
      <c r="C152" s="8" t="n">
        <v>0.0012492007</v>
      </c>
      <c r="D152" s="8" t="n">
        <f aca="false">IFERROR((PIB_niveau!D152-PIB_niveau!D148)/PIB_niveau!D148,"")</f>
        <v>0.0208725590402928</v>
      </c>
    </row>
    <row r="153" customFormat="false" ht="15" hidden="false" customHeight="true" outlineLevel="0" collapsed="false">
      <c r="A153" s="5" t="s">
        <v>186</v>
      </c>
      <c r="B153" s="5" t="n">
        <f aca="false">VALUE(LEFT(A153,4))</f>
        <v>1987</v>
      </c>
      <c r="C153" s="8" t="n">
        <v>0.0008233113</v>
      </c>
      <c r="D153" s="8" t="n">
        <f aca="false">IFERROR((PIB_niveau!D153-PIB_niveau!D149)/PIB_niveau!D149,"")</f>
        <v>0.0185647546747071</v>
      </c>
    </row>
    <row r="154" customFormat="false" ht="15" hidden="false" customHeight="true" outlineLevel="0" collapsed="false">
      <c r="A154" s="5" t="s">
        <v>187</v>
      </c>
      <c r="B154" s="5" t="n">
        <f aca="false">VALUE(LEFT(A154,4))</f>
        <v>1987</v>
      </c>
      <c r="C154" s="8" t="n">
        <v>0.0148869983</v>
      </c>
      <c r="D154" s="8" t="n">
        <f aca="false">IFERROR((PIB_niveau!D154-PIB_niveau!D150)/PIB_niveau!D150,"")</f>
        <v>0.0225128050972834</v>
      </c>
    </row>
    <row r="155" customFormat="false" ht="15" hidden="false" customHeight="true" outlineLevel="0" collapsed="false">
      <c r="A155" s="5" t="s">
        <v>188</v>
      </c>
      <c r="B155" s="5" t="n">
        <f aca="false">VALUE(LEFT(A155,4))</f>
        <v>1987</v>
      </c>
      <c r="C155" s="8" t="n">
        <v>0.0067259964</v>
      </c>
      <c r="D155" s="8" t="n">
        <f aca="false">IFERROR((PIB_niveau!D155-PIB_niveau!D151)/PIB_niveau!D151,"")</f>
        <v>0.0238304607808653</v>
      </c>
    </row>
    <row r="156" customFormat="false" ht="15" hidden="false" customHeight="true" outlineLevel="0" collapsed="false">
      <c r="A156" s="5" t="s">
        <v>189</v>
      </c>
      <c r="B156" s="5" t="n">
        <f aca="false">VALUE(LEFT(A156,4))</f>
        <v>1987</v>
      </c>
      <c r="C156" s="8" t="n">
        <v>0.0147479057</v>
      </c>
      <c r="D156" s="8" t="n">
        <f aca="false">IFERROR((PIB_niveau!D156-PIB_niveau!D152)/PIB_niveau!D152,"")</f>
        <v>0.0376362028888772</v>
      </c>
    </row>
    <row r="157" customFormat="false" ht="15" hidden="false" customHeight="true" outlineLevel="0" collapsed="false">
      <c r="A157" s="5" t="s">
        <v>190</v>
      </c>
      <c r="B157" s="5" t="n">
        <f aca="false">VALUE(LEFT(A157,4))</f>
        <v>1988</v>
      </c>
      <c r="C157" s="8" t="n">
        <v>0.0128404769</v>
      </c>
      <c r="D157" s="8" t="n">
        <f aca="false">IFERROR((PIB_niveau!D157-PIB_niveau!D153)/PIB_niveau!D153,"")</f>
        <v>0.0500955049770817</v>
      </c>
    </row>
    <row r="158" customFormat="false" ht="15" hidden="false" customHeight="true" outlineLevel="0" collapsed="false">
      <c r="A158" s="5" t="s">
        <v>191</v>
      </c>
      <c r="B158" s="5" t="n">
        <f aca="false">VALUE(LEFT(A158,4))</f>
        <v>1988</v>
      </c>
      <c r="C158" s="8" t="n">
        <v>0.0087515546</v>
      </c>
      <c r="D158" s="8" t="n">
        <f aca="false">IFERROR((PIB_niveau!D158-PIB_niveau!D154)/PIB_niveau!D154,"")</f>
        <v>0.043746054986641</v>
      </c>
    </row>
    <row r="159" customFormat="false" ht="15" hidden="false" customHeight="true" outlineLevel="0" collapsed="false">
      <c r="A159" s="5" t="s">
        <v>192</v>
      </c>
      <c r="B159" s="5" t="n">
        <f aca="false">VALUE(LEFT(A159,4))</f>
        <v>1988</v>
      </c>
      <c r="C159" s="8" t="n">
        <v>0.0126549068</v>
      </c>
      <c r="D159" s="8" t="n">
        <f aca="false">IFERROR((PIB_niveau!D159-PIB_niveau!D155)/PIB_niveau!D155,"")</f>
        <v>0.0498955023046752</v>
      </c>
    </row>
    <row r="160" customFormat="false" ht="15" hidden="false" customHeight="true" outlineLevel="0" collapsed="false">
      <c r="A160" s="5" t="s">
        <v>193</v>
      </c>
      <c r="B160" s="5" t="n">
        <f aca="false">VALUE(LEFT(A160,4))</f>
        <v>1988</v>
      </c>
      <c r="C160" s="8" t="n">
        <v>0.0082490123</v>
      </c>
      <c r="D160" s="8" t="n">
        <f aca="false">IFERROR((PIB_niveau!D160-PIB_niveau!D156)/PIB_niveau!D156,"")</f>
        <v>0.0431692632362982</v>
      </c>
    </row>
    <row r="161" customFormat="false" ht="15" hidden="false" customHeight="true" outlineLevel="0" collapsed="false">
      <c r="A161" s="5" t="s">
        <v>194</v>
      </c>
      <c r="B161" s="5" t="n">
        <f aca="false">VALUE(LEFT(A161,4))</f>
        <v>1989</v>
      </c>
      <c r="C161" s="8" t="n">
        <v>0.0130085421</v>
      </c>
      <c r="D161" s="8" t="n">
        <f aca="false">IFERROR((PIB_niveau!D161-PIB_niveau!D157)/PIB_niveau!D157,"")</f>
        <v>0.0433406779519379</v>
      </c>
    </row>
    <row r="162" customFormat="false" ht="15" hidden="false" customHeight="true" outlineLevel="0" collapsed="false">
      <c r="A162" s="5" t="s">
        <v>195</v>
      </c>
      <c r="B162" s="5" t="n">
        <f aca="false">VALUE(LEFT(A162,4))</f>
        <v>1989</v>
      </c>
      <c r="C162" s="8" t="n">
        <v>0.0111567049</v>
      </c>
      <c r="D162" s="8" t="n">
        <f aca="false">IFERROR((PIB_niveau!D162-PIB_niveau!D158)/PIB_niveau!D158,"")</f>
        <v>0.0458282132353957</v>
      </c>
    </row>
    <row r="163" customFormat="false" ht="15" hidden="false" customHeight="true" outlineLevel="0" collapsed="false">
      <c r="A163" s="5" t="s">
        <v>196</v>
      </c>
      <c r="B163" s="5" t="n">
        <f aca="false">VALUE(LEFT(A163,4))</f>
        <v>1989</v>
      </c>
      <c r="C163" s="8" t="n">
        <v>0.0112672963</v>
      </c>
      <c r="D163" s="8" t="n">
        <f aca="false">IFERROR((PIB_niveau!D163-PIB_niveau!D159)/PIB_niveau!D159,"")</f>
        <v>0.0443937848701181</v>
      </c>
    </row>
    <row r="164" customFormat="false" ht="15" hidden="false" customHeight="true" outlineLevel="0" collapsed="false">
      <c r="A164" s="5" t="s">
        <v>197</v>
      </c>
      <c r="B164" s="5" t="n">
        <f aca="false">VALUE(LEFT(A164,4))</f>
        <v>1989</v>
      </c>
      <c r="C164" s="8" t="n">
        <v>0.0134105798</v>
      </c>
      <c r="D164" s="8" t="n">
        <f aca="false">IFERROR((PIB_niveau!D164-PIB_niveau!D160)/PIB_niveau!D160,"")</f>
        <v>0.0497426590902329</v>
      </c>
    </row>
    <row r="165" customFormat="false" ht="15" hidden="false" customHeight="true" outlineLevel="0" collapsed="false">
      <c r="A165" s="5" t="s">
        <v>198</v>
      </c>
      <c r="B165" s="5" t="n">
        <f aca="false">VALUE(LEFT(A165,4))</f>
        <v>1990</v>
      </c>
      <c r="C165" s="8" t="n">
        <v>0.002116901</v>
      </c>
      <c r="D165" s="8" t="n">
        <f aca="false">IFERROR((PIB_niveau!D165-PIB_niveau!D161)/PIB_niveau!D161,"")</f>
        <v>0.0384566094961447</v>
      </c>
    </row>
    <row r="166" customFormat="false" ht="15" hidden="false" customHeight="true" outlineLevel="0" collapsed="false">
      <c r="A166" s="5" t="s">
        <v>199</v>
      </c>
      <c r="B166" s="5" t="n">
        <f aca="false">VALUE(LEFT(A166,4))</f>
        <v>1990</v>
      </c>
      <c r="C166" s="8" t="n">
        <v>0.0053726049</v>
      </c>
      <c r="D166" s="8" t="n">
        <f aca="false">IFERROR((PIB_niveau!D166-PIB_niveau!D162)/PIB_niveau!D162,"")</f>
        <v>0.0325164826750385</v>
      </c>
    </row>
    <row r="167" customFormat="false" ht="15" hidden="false" customHeight="true" outlineLevel="0" collapsed="false">
      <c r="A167" s="5" t="s">
        <v>200</v>
      </c>
      <c r="B167" s="5" t="n">
        <f aca="false">VALUE(LEFT(A167,4))</f>
        <v>1990</v>
      </c>
      <c r="C167" s="8" t="n">
        <v>0.0064978963</v>
      </c>
      <c r="D167" s="8" t="n">
        <f aca="false">IFERROR((PIB_niveau!D167-PIB_niveau!D163)/PIB_niveau!D163,"")</f>
        <v>0.0276476639564697</v>
      </c>
    </row>
    <row r="168" customFormat="false" ht="15" hidden="false" customHeight="true" outlineLevel="0" collapsed="false">
      <c r="A168" s="5" t="s">
        <v>201</v>
      </c>
      <c r="B168" s="5" t="n">
        <f aca="false">VALUE(LEFT(A168,4))</f>
        <v>1990</v>
      </c>
      <c r="C168" s="8" t="n">
        <v>-0.0004802014</v>
      </c>
      <c r="D168" s="8" t="n">
        <f aca="false">IFERROR((PIB_niveau!D168-PIB_niveau!D164)/PIB_niveau!D164,"")</f>
        <v>0.0135597150475995</v>
      </c>
    </row>
    <row r="169" customFormat="false" ht="15" hidden="false" customHeight="true" outlineLevel="0" collapsed="false">
      <c r="A169" s="5" t="s">
        <v>202</v>
      </c>
      <c r="B169" s="5" t="n">
        <f aca="false">VALUE(LEFT(A169,4))</f>
        <v>1991</v>
      </c>
      <c r="C169" s="8" t="n">
        <v>0.0026311143</v>
      </c>
      <c r="D169" s="8" t="n">
        <f aca="false">IFERROR((PIB_niveau!D169-PIB_niveau!D165)/PIB_niveau!D165,"")</f>
        <v>0.0140812842583736</v>
      </c>
    </row>
    <row r="170" customFormat="false" ht="15" hidden="false" customHeight="true" outlineLevel="0" collapsed="false">
      <c r="A170" s="5" t="s">
        <v>203</v>
      </c>
      <c r="B170" s="5" t="n">
        <f aca="false">VALUE(LEFT(A170,4))</f>
        <v>1991</v>
      </c>
      <c r="C170" s="8" t="n">
        <v>0.0036930429</v>
      </c>
      <c r="D170" s="8" t="n">
        <f aca="false">IFERROR((PIB_niveau!D170-PIB_niveau!D166)/PIB_niveau!D166,"")</f>
        <v>0.0123872894748955</v>
      </c>
    </row>
    <row r="171" customFormat="false" ht="15" hidden="false" customHeight="true" outlineLevel="0" collapsed="false">
      <c r="A171" s="5" t="s">
        <v>204</v>
      </c>
      <c r="B171" s="5" t="n">
        <f aca="false">VALUE(LEFT(A171,4))</f>
        <v>1991</v>
      </c>
      <c r="C171" s="8" t="n">
        <v>0.0040537669</v>
      </c>
      <c r="D171" s="8" t="n">
        <f aca="false">IFERROR((PIB_niveau!D171-PIB_niveau!D167)/PIB_niveau!D167,"")</f>
        <v>0.00992918973441708</v>
      </c>
    </row>
    <row r="172" customFormat="false" ht="15" hidden="false" customHeight="true" outlineLevel="0" collapsed="false">
      <c r="A172" s="5" t="s">
        <v>205</v>
      </c>
      <c r="B172" s="5" t="n">
        <f aca="false">VALUE(LEFT(A172,4))</f>
        <v>1991</v>
      </c>
      <c r="C172" s="8" t="n">
        <v>0.0048257954</v>
      </c>
      <c r="D172" s="8" t="n">
        <f aca="false">IFERROR((PIB_niveau!D172-PIB_niveau!D168)/PIB_niveau!D168,"")</f>
        <v>0.0152898591248557</v>
      </c>
    </row>
    <row r="173" customFormat="false" ht="15" hidden="false" customHeight="true" outlineLevel="0" collapsed="false">
      <c r="A173" s="5" t="s">
        <v>206</v>
      </c>
      <c r="B173" s="5" t="n">
        <f aca="false">VALUE(LEFT(A173,4))</f>
        <v>1992</v>
      </c>
      <c r="C173" s="8" t="n">
        <v>0.0071522893</v>
      </c>
      <c r="D173" s="8" t="n">
        <f aca="false">IFERROR((PIB_niveau!D173-PIB_niveau!D169)/PIB_niveau!D169,"")</f>
        <v>0.0198690271858592</v>
      </c>
    </row>
    <row r="174" customFormat="false" ht="15" hidden="false" customHeight="true" outlineLevel="0" collapsed="false">
      <c r="A174" s="5" t="s">
        <v>207</v>
      </c>
      <c r="B174" s="5" t="n">
        <f aca="false">VALUE(LEFT(A174,4))</f>
        <v>1992</v>
      </c>
      <c r="C174" s="8" t="n">
        <v>0.0011227632</v>
      </c>
      <c r="D174" s="8" t="n">
        <f aca="false">IFERROR((PIB_niveau!D174-PIB_niveau!D170)/PIB_niveau!D170,"")</f>
        <v>0.0172547929980551</v>
      </c>
    </row>
    <row r="175" customFormat="false" ht="15" hidden="false" customHeight="true" outlineLevel="0" collapsed="false">
      <c r="A175" s="5" t="s">
        <v>208</v>
      </c>
      <c r="B175" s="5" t="n">
        <f aca="false">VALUE(LEFT(A175,4))</f>
        <v>1992</v>
      </c>
      <c r="C175" s="8" t="n">
        <v>-0.0011499055</v>
      </c>
      <c r="D175" s="8" t="n">
        <f aca="false">IFERROR((PIB_niveau!D175-PIB_niveau!D171)/PIB_niveau!D171,"")</f>
        <v>0.0119825406608888</v>
      </c>
    </row>
    <row r="176" customFormat="false" ht="15" hidden="false" customHeight="true" outlineLevel="0" collapsed="false">
      <c r="A176" s="5" t="s">
        <v>209</v>
      </c>
      <c r="B176" s="5" t="n">
        <f aca="false">VALUE(LEFT(A176,4))</f>
        <v>1992</v>
      </c>
      <c r="C176" s="8" t="n">
        <v>0.0001897562</v>
      </c>
      <c r="D176" s="8" t="n">
        <f aca="false">IFERROR((PIB_niveau!D176-PIB_niveau!D172)/PIB_niveau!D172,"")</f>
        <v>0.00731323216820682</v>
      </c>
    </row>
    <row r="177" customFormat="false" ht="15" hidden="false" customHeight="true" outlineLevel="0" collapsed="false">
      <c r="A177" s="5" t="s">
        <v>210</v>
      </c>
      <c r="B177" s="5" t="n">
        <f aca="false">VALUE(LEFT(A177,4))</f>
        <v>1993</v>
      </c>
      <c r="C177" s="8" t="n">
        <v>-0.0054027223</v>
      </c>
      <c r="D177" s="8" t="n">
        <f aca="false">IFERROR((PIB_niveau!D177-PIB_niveau!D173)/PIB_niveau!D173,"")</f>
        <v>-0.00524274740845696</v>
      </c>
    </row>
    <row r="178" customFormat="false" ht="15" hidden="false" customHeight="true" outlineLevel="0" collapsed="false">
      <c r="A178" s="5" t="s">
        <v>211</v>
      </c>
      <c r="B178" s="5" t="n">
        <f aca="false">VALUE(LEFT(A178,4))</f>
        <v>1993</v>
      </c>
      <c r="C178" s="8" t="n">
        <v>4.7603E-005</v>
      </c>
      <c r="D178" s="8" t="n">
        <f aca="false">IFERROR((PIB_niveau!D178-PIB_niveau!D174)/PIB_niveau!D174,"")</f>
        <v>-0.00630957908825216</v>
      </c>
    </row>
    <row r="179" customFormat="false" ht="15" hidden="false" customHeight="true" outlineLevel="0" collapsed="false">
      <c r="A179" s="5" t="s">
        <v>212</v>
      </c>
      <c r="B179" s="5" t="n">
        <f aca="false">VALUE(LEFT(A179,4))</f>
        <v>1993</v>
      </c>
      <c r="C179" s="8" t="n">
        <v>0.0012247775</v>
      </c>
      <c r="D179" s="8" t="n">
        <f aca="false">IFERROR((PIB_niveau!D179-PIB_niveau!D175)/PIB_niveau!D175,"")</f>
        <v>-0.00394771514798951</v>
      </c>
    </row>
    <row r="180" customFormat="false" ht="15" hidden="false" customHeight="true" outlineLevel="0" collapsed="false">
      <c r="A180" s="5" t="s">
        <v>213</v>
      </c>
      <c r="B180" s="5" t="n">
        <f aca="false">VALUE(LEFT(A180,4))</f>
        <v>1993</v>
      </c>
      <c r="C180" s="8" t="n">
        <v>0.0026310959</v>
      </c>
      <c r="D180" s="8" t="n">
        <f aca="false">IFERROR((PIB_niveau!D180-PIB_niveau!D176)/PIB_niveau!D176,"")</f>
        <v>-0.00151615324581073</v>
      </c>
    </row>
    <row r="181" customFormat="false" ht="15" hidden="false" customHeight="true" outlineLevel="0" collapsed="false">
      <c r="A181" s="5" t="s">
        <v>214</v>
      </c>
      <c r="B181" s="5" t="n">
        <f aca="false">VALUE(LEFT(A181,4))</f>
        <v>1994</v>
      </c>
      <c r="C181" s="8" t="n">
        <v>0.0067872639</v>
      </c>
      <c r="D181" s="8" t="n">
        <f aca="false">IFERROR((PIB_niveau!D181-PIB_niveau!D177)/PIB_niveau!D177,"")</f>
        <v>0.010720684924318</v>
      </c>
    </row>
    <row r="182" customFormat="false" ht="15" hidden="false" customHeight="true" outlineLevel="0" collapsed="false">
      <c r="A182" s="5" t="s">
        <v>215</v>
      </c>
      <c r="B182" s="5" t="n">
        <f aca="false">VALUE(LEFT(A182,4))</f>
        <v>1994</v>
      </c>
      <c r="C182" s="8" t="n">
        <v>0.010034404</v>
      </c>
      <c r="D182" s="8" t="n">
        <f aca="false">IFERROR((PIB_niveau!D182-PIB_niveau!D178)/PIB_niveau!D178,"")</f>
        <v>0.0208131340896597</v>
      </c>
    </row>
    <row r="183" customFormat="false" ht="15" hidden="false" customHeight="true" outlineLevel="0" collapsed="false">
      <c r="A183" s="5" t="s">
        <v>216</v>
      </c>
      <c r="B183" s="5" t="n">
        <f aca="false">VALUE(LEFT(A183,4))</f>
        <v>1994</v>
      </c>
      <c r="C183" s="8" t="n">
        <v>0.0090324227</v>
      </c>
      <c r="D183" s="8" t="n">
        <f aca="false">IFERROR((PIB_niveau!D183-PIB_niveau!D179)/PIB_niveau!D179,"")</f>
        <v>0.028774303042404</v>
      </c>
    </row>
    <row r="184" customFormat="false" ht="15" hidden="false" customHeight="true" outlineLevel="0" collapsed="false">
      <c r="A184" s="5" t="s">
        <v>217</v>
      </c>
      <c r="B184" s="5" t="n">
        <f aca="false">VALUE(LEFT(A184,4))</f>
        <v>1994</v>
      </c>
      <c r="C184" s="8" t="n">
        <v>0.0094265379</v>
      </c>
      <c r="D184" s="8" t="n">
        <f aca="false">IFERROR((PIB_niveau!D184-PIB_niveau!D180)/PIB_niveau!D180,"")</f>
        <v>0.0357484242913045</v>
      </c>
    </row>
    <row r="185" customFormat="false" ht="15" hidden="false" customHeight="true" outlineLevel="0" collapsed="false">
      <c r="A185" s="5" t="s">
        <v>218</v>
      </c>
      <c r="B185" s="5" t="n">
        <f aca="false">VALUE(LEFT(A185,4))</f>
        <v>1995</v>
      </c>
      <c r="C185" s="8" t="n">
        <v>0.0047252715</v>
      </c>
      <c r="D185" s="8" t="n">
        <f aca="false">IFERROR((PIB_niveau!D185-PIB_niveau!D181)/PIB_niveau!D181,"")</f>
        <v>0.0336258285923387</v>
      </c>
    </row>
    <row r="186" customFormat="false" ht="15" hidden="false" customHeight="true" outlineLevel="0" collapsed="false">
      <c r="A186" s="5" t="s">
        <v>219</v>
      </c>
      <c r="B186" s="5" t="n">
        <f aca="false">VALUE(LEFT(A186,4))</f>
        <v>1995</v>
      </c>
      <c r="C186" s="8" t="n">
        <v>0.0065568632</v>
      </c>
      <c r="D186" s="8" t="n">
        <f aca="false">IFERROR((PIB_niveau!D186-PIB_niveau!D182)/PIB_niveau!D182,"")</f>
        <v>0.0300678810013977</v>
      </c>
    </row>
    <row r="187" customFormat="false" ht="15" hidden="false" customHeight="true" outlineLevel="0" collapsed="false">
      <c r="A187" s="5" t="s">
        <v>220</v>
      </c>
      <c r="B187" s="5" t="n">
        <f aca="false">VALUE(LEFT(A187,4))</f>
        <v>1995</v>
      </c>
      <c r="C187" s="8" t="n">
        <v>0.0015628572</v>
      </c>
      <c r="D187" s="8" t="n">
        <f aca="false">IFERROR((PIB_niveau!D187-PIB_niveau!D183)/PIB_niveau!D183,"")</f>
        <v>0.0224406172746659</v>
      </c>
    </row>
    <row r="188" customFormat="false" ht="15" hidden="false" customHeight="true" outlineLevel="0" collapsed="false">
      <c r="A188" s="5" t="s">
        <v>221</v>
      </c>
      <c r="B188" s="5" t="n">
        <f aca="false">VALUE(LEFT(A188,4))</f>
        <v>1995</v>
      </c>
      <c r="C188" s="8" t="n">
        <v>-0.0003950242</v>
      </c>
      <c r="D188" s="8" t="n">
        <f aca="false">IFERROR((PIB_niveau!D188-PIB_niveau!D184)/PIB_niveau!D184,"")</f>
        <v>0.0124926397250563</v>
      </c>
    </row>
    <row r="189" customFormat="false" ht="15" hidden="false" customHeight="true" outlineLevel="0" collapsed="false">
      <c r="A189" s="5" t="s">
        <v>222</v>
      </c>
      <c r="B189" s="5" t="n">
        <f aca="false">VALUE(LEFT(A189,4))</f>
        <v>1996</v>
      </c>
      <c r="C189" s="8" t="n">
        <v>0.0069513326</v>
      </c>
      <c r="D189" s="8" t="n">
        <f aca="false">IFERROR((PIB_niveau!D189-PIB_niveau!D185)/PIB_niveau!D185,"")</f>
        <v>0.0147350442888548</v>
      </c>
    </row>
    <row r="190" customFormat="false" ht="15" hidden="false" customHeight="true" outlineLevel="0" collapsed="false">
      <c r="A190" s="5" t="s">
        <v>223</v>
      </c>
      <c r="B190" s="5" t="n">
        <f aca="false">VALUE(LEFT(A190,4))</f>
        <v>1996</v>
      </c>
      <c r="C190" s="8" t="n">
        <v>0.0019284306</v>
      </c>
      <c r="D190" s="8" t="n">
        <f aca="false">IFERROR((PIB_niveau!D190-PIB_niveau!D186)/PIB_niveau!D186,"")</f>
        <v>0.0100691077777145</v>
      </c>
    </row>
    <row r="191" customFormat="false" ht="15" hidden="false" customHeight="true" outlineLevel="0" collapsed="false">
      <c r="A191" s="5" t="s">
        <v>224</v>
      </c>
      <c r="B191" s="5" t="n">
        <f aca="false">VALUE(LEFT(A191,4))</f>
        <v>1996</v>
      </c>
      <c r="C191" s="8" t="n">
        <v>0.0038600055</v>
      </c>
      <c r="D191" s="8" t="n">
        <f aca="false">IFERROR((PIB_niveau!D191-PIB_niveau!D187)/PIB_niveau!D187,"")</f>
        <v>0.0123882130459439</v>
      </c>
    </row>
    <row r="192" customFormat="false" ht="15" hidden="false" customHeight="true" outlineLevel="0" collapsed="false">
      <c r="A192" s="5" t="s">
        <v>225</v>
      </c>
      <c r="B192" s="5" t="n">
        <f aca="false">VALUE(LEFT(A192,4))</f>
        <v>1996</v>
      </c>
      <c r="C192" s="8" t="n">
        <v>0.0038465175</v>
      </c>
      <c r="D192" s="8" t="n">
        <f aca="false">IFERROR((PIB_niveau!D192-PIB_niveau!D188)/PIB_niveau!D188,"")</f>
        <v>0.01668237265686</v>
      </c>
    </row>
    <row r="193" customFormat="false" ht="15" hidden="false" customHeight="true" outlineLevel="0" collapsed="false">
      <c r="A193" s="5" t="s">
        <v>226</v>
      </c>
      <c r="B193" s="5" t="n">
        <f aca="false">VALUE(LEFT(A193,4))</f>
        <v>1997</v>
      </c>
      <c r="C193" s="8" t="n">
        <v>0.0042688692</v>
      </c>
      <c r="D193" s="8" t="n">
        <f aca="false">IFERROR((PIB_niveau!D193-PIB_niveau!D189)/PIB_niveau!D189,"")</f>
        <v>0.0139765352619333</v>
      </c>
    </row>
    <row r="194" customFormat="false" ht="15" hidden="false" customHeight="true" outlineLevel="0" collapsed="false">
      <c r="A194" s="5" t="s">
        <v>227</v>
      </c>
      <c r="B194" s="5" t="n">
        <f aca="false">VALUE(LEFT(A194,4))</f>
        <v>1997</v>
      </c>
      <c r="C194" s="8" t="n">
        <v>0.0104961755</v>
      </c>
      <c r="D194" s="8" t="n">
        <f aca="false">IFERROR((PIB_niveau!D194-PIB_niveau!D190)/PIB_niveau!D190,"")</f>
        <v>0.0226455136002485</v>
      </c>
    </row>
    <row r="195" customFormat="false" ht="15" hidden="false" customHeight="true" outlineLevel="0" collapsed="false">
      <c r="A195" s="5" t="s">
        <v>228</v>
      </c>
      <c r="B195" s="5" t="n">
        <f aca="false">VALUE(LEFT(A195,4))</f>
        <v>1997</v>
      </c>
      <c r="C195" s="8" t="n">
        <v>0.0099434832</v>
      </c>
      <c r="D195" s="8" t="n">
        <f aca="false">IFERROR((PIB_niveau!D195-PIB_niveau!D191)/PIB_niveau!D191,"")</f>
        <v>0.0288419621721705</v>
      </c>
    </row>
    <row r="196" customFormat="false" ht="15" hidden="false" customHeight="true" outlineLevel="0" collapsed="false">
      <c r="A196" s="5" t="s">
        <v>229</v>
      </c>
      <c r="B196" s="5" t="n">
        <f aca="false">VALUE(LEFT(A196,4))</f>
        <v>1997</v>
      </c>
      <c r="C196" s="8" t="n">
        <v>0.0098821223</v>
      </c>
      <c r="D196" s="8" t="n">
        <f aca="false">IFERROR((PIB_niveau!D196-PIB_niveau!D192)/PIB_niveau!D192,"")</f>
        <v>0.035028285521502</v>
      </c>
    </row>
    <row r="197" customFormat="false" ht="15" hidden="false" customHeight="true" outlineLevel="0" collapsed="false">
      <c r="A197" s="5" t="s">
        <v>230</v>
      </c>
      <c r="B197" s="5" t="n">
        <f aca="false">VALUE(LEFT(A197,4))</f>
        <v>1998</v>
      </c>
      <c r="C197" s="8" t="n">
        <v>0.0095847992</v>
      </c>
      <c r="D197" s="8" t="n">
        <f aca="false">IFERROR((PIB_niveau!D197-PIB_niveau!D193)/PIB_niveau!D193,"")</f>
        <v>0.0405077416655043</v>
      </c>
    </row>
    <row r="198" customFormat="false" ht="15" hidden="false" customHeight="true" outlineLevel="0" collapsed="false">
      <c r="A198" s="5" t="s">
        <v>231</v>
      </c>
      <c r="B198" s="5" t="n">
        <f aca="false">VALUE(LEFT(A198,4))</f>
        <v>1998</v>
      </c>
      <c r="C198" s="8" t="n">
        <v>0.007160907</v>
      </c>
      <c r="D198" s="8" t="n">
        <f aca="false">IFERROR((PIB_niveau!D198-PIB_niveau!D194)/PIB_niveau!D194,"")</f>
        <v>0.0370754669231159</v>
      </c>
    </row>
    <row r="199" customFormat="false" ht="15" hidden="false" customHeight="true" outlineLevel="0" collapsed="false">
      <c r="A199" s="5" t="s">
        <v>232</v>
      </c>
      <c r="B199" s="5" t="n">
        <f aca="false">VALUE(LEFT(A199,4))</f>
        <v>1998</v>
      </c>
      <c r="C199" s="8" t="n">
        <v>0.0051723236</v>
      </c>
      <c r="D199" s="8" t="n">
        <f aca="false">IFERROR((PIB_niveau!D199-PIB_niveau!D195)/PIB_niveau!D195,"")</f>
        <v>0.0321748797200759</v>
      </c>
    </row>
    <row r="200" customFormat="false" ht="15" hidden="false" customHeight="true" outlineLevel="0" collapsed="false">
      <c r="A200" s="5" t="s">
        <v>233</v>
      </c>
      <c r="B200" s="5" t="n">
        <f aca="false">VALUE(LEFT(A200,4))</f>
        <v>1998</v>
      </c>
      <c r="C200" s="8" t="n">
        <v>0.0068554409</v>
      </c>
      <c r="D200" s="8" t="n">
        <f aca="false">IFERROR((PIB_niveau!D200-PIB_niveau!D196)/PIB_niveau!D196,"")</f>
        <v>0.0290809674406854</v>
      </c>
    </row>
    <row r="201" customFormat="false" ht="15" hidden="false" customHeight="true" outlineLevel="0" collapsed="false">
      <c r="A201" s="5" t="s">
        <v>234</v>
      </c>
      <c r="B201" s="5" t="n">
        <f aca="false">VALUE(LEFT(A201,4))</f>
        <v>1999</v>
      </c>
      <c r="C201" s="8" t="n">
        <v>0.0068803858</v>
      </c>
      <c r="D201" s="8" t="n">
        <f aca="false">IFERROR((PIB_niveau!D201-PIB_niveau!D197)/PIB_niveau!D197,"")</f>
        <v>0.0263224924256643</v>
      </c>
    </row>
    <row r="202" customFormat="false" ht="15" hidden="false" customHeight="true" outlineLevel="0" collapsed="false">
      <c r="A202" s="5" t="s">
        <v>235</v>
      </c>
      <c r="B202" s="5" t="n">
        <f aca="false">VALUE(LEFT(A202,4))</f>
        <v>1999</v>
      </c>
      <c r="C202" s="8" t="n">
        <v>0.0064844686</v>
      </c>
      <c r="D202" s="8" t="n">
        <f aca="false">IFERROR((PIB_niveau!D202-PIB_niveau!D198)/PIB_niveau!D198,"")</f>
        <v>0.0256339721675626</v>
      </c>
    </row>
    <row r="203" customFormat="false" ht="15" hidden="false" customHeight="true" outlineLevel="0" collapsed="false">
      <c r="A203" s="5" t="s">
        <v>236</v>
      </c>
      <c r="B203" s="5" t="n">
        <f aca="false">VALUE(LEFT(A203,4))</f>
        <v>1999</v>
      </c>
      <c r="C203" s="8" t="n">
        <v>0.0147303958</v>
      </c>
      <c r="D203" s="8" t="n">
        <f aca="false">IFERROR((PIB_niveau!D203-PIB_niveau!D199)/PIB_niveau!D199,"")</f>
        <v>0.0353873317148532</v>
      </c>
    </row>
    <row r="204" customFormat="false" ht="15" hidden="false" customHeight="true" outlineLevel="0" collapsed="false">
      <c r="A204" s="5" t="s">
        <v>237</v>
      </c>
      <c r="B204" s="5" t="n">
        <f aca="false">VALUE(LEFT(A204,4))</f>
        <v>1999</v>
      </c>
      <c r="C204" s="8" t="n">
        <v>0.014162532</v>
      </c>
      <c r="D204" s="8" t="n">
        <f aca="false">IFERROR((PIB_niveau!D204-PIB_niveau!D200)/PIB_niveau!D200,"")</f>
        <v>0.0429016716132624</v>
      </c>
    </row>
    <row r="205" customFormat="false" ht="15" hidden="false" customHeight="true" outlineLevel="0" collapsed="false">
      <c r="A205" s="5" t="s">
        <v>238</v>
      </c>
      <c r="B205" s="5" t="n">
        <f aca="false">VALUE(LEFT(A205,4))</f>
        <v>2000</v>
      </c>
      <c r="C205" s="8" t="n">
        <v>0.0094512348</v>
      </c>
      <c r="D205" s="8" t="n">
        <f aca="false">IFERROR((PIB_niveau!D205-PIB_niveau!D201)/PIB_niveau!D201,"")</f>
        <v>0.0455648804275652</v>
      </c>
    </row>
    <row r="206" customFormat="false" ht="15" hidden="false" customHeight="true" outlineLevel="0" collapsed="false">
      <c r="A206" s="5" t="s">
        <v>239</v>
      </c>
      <c r="B206" s="5" t="n">
        <f aca="false">VALUE(LEFT(A206,4))</f>
        <v>2000</v>
      </c>
      <c r="C206" s="8" t="n">
        <v>0.0115079294</v>
      </c>
      <c r="D206" s="8" t="n">
        <f aca="false">IFERROR((PIB_niveau!D206-PIB_niveau!D202)/PIB_niveau!D202,"")</f>
        <v>0.0507825680691463</v>
      </c>
    </row>
    <row r="207" customFormat="false" ht="15" hidden="false" customHeight="true" outlineLevel="0" collapsed="false">
      <c r="A207" s="5" t="s">
        <v>240</v>
      </c>
      <c r="B207" s="5" t="n">
        <f aca="false">VALUE(LEFT(A207,4))</f>
        <v>2000</v>
      </c>
      <c r="C207" s="8" t="n">
        <v>0.0078161081</v>
      </c>
      <c r="D207" s="8" t="n">
        <f aca="false">IFERROR((PIB_niveau!D207-PIB_niveau!D203)/PIB_niveau!D203,"")</f>
        <v>0.0436229307617866</v>
      </c>
    </row>
    <row r="208" customFormat="false" ht="15" hidden="false" customHeight="true" outlineLevel="0" collapsed="false">
      <c r="A208" s="5" t="s">
        <v>241</v>
      </c>
      <c r="B208" s="5" t="n">
        <f aca="false">VALUE(LEFT(A208,4))</f>
        <v>2000</v>
      </c>
      <c r="C208" s="8" t="n">
        <v>0.0059199515</v>
      </c>
      <c r="D208" s="8" t="n">
        <f aca="false">IFERROR((PIB_niveau!D208-PIB_niveau!D204)/PIB_niveau!D204,"")</f>
        <v>0.0351403385612618</v>
      </c>
    </row>
    <row r="209" customFormat="false" ht="15" hidden="false" customHeight="true" outlineLevel="0" collapsed="false">
      <c r="A209" s="5" t="s">
        <v>242</v>
      </c>
      <c r="B209" s="5" t="n">
        <f aca="false">VALUE(LEFT(A209,4))</f>
        <v>2001</v>
      </c>
      <c r="C209" s="8" t="n">
        <v>0.0049774534</v>
      </c>
      <c r="D209" s="8" t="n">
        <f aca="false">IFERROR((PIB_niveau!D209-PIB_niveau!D205)/PIB_niveau!D205,"")</f>
        <v>0.0305533288220291</v>
      </c>
    </row>
    <row r="210" customFormat="false" ht="15" hidden="false" customHeight="true" outlineLevel="0" collapsed="false">
      <c r="A210" s="5" t="s">
        <v>243</v>
      </c>
      <c r="B210" s="5" t="n">
        <f aca="false">VALUE(LEFT(A210,4))</f>
        <v>2001</v>
      </c>
      <c r="C210" s="8" t="n">
        <v>0.0004414154</v>
      </c>
      <c r="D210" s="8" t="n">
        <f aca="false">IFERROR((PIB_niveau!D210-PIB_niveau!D206)/PIB_niveau!D206,"")</f>
        <v>0.0192774010810988</v>
      </c>
    </row>
    <row r="211" customFormat="false" ht="15" hidden="false" customHeight="true" outlineLevel="0" collapsed="false">
      <c r="A211" s="5" t="s">
        <v>244</v>
      </c>
      <c r="B211" s="5" t="n">
        <f aca="false">VALUE(LEFT(A211,4))</f>
        <v>2001</v>
      </c>
      <c r="C211" s="8" t="n">
        <v>0.0057652776</v>
      </c>
      <c r="D211" s="8" t="n">
        <f aca="false">IFERROR((PIB_niveau!D211-PIB_niveau!D207)/PIB_niveau!D207,"")</f>
        <v>0.0172038750079146</v>
      </c>
    </row>
    <row r="212" customFormat="false" ht="15" hidden="false" customHeight="true" outlineLevel="0" collapsed="false">
      <c r="A212" s="5" t="s">
        <v>245</v>
      </c>
      <c r="B212" s="5" t="n">
        <f aca="false">VALUE(LEFT(A212,4))</f>
        <v>2001</v>
      </c>
      <c r="C212" s="8" t="n">
        <v>-0.00441209</v>
      </c>
      <c r="D212" s="8" t="n">
        <f aca="false">IFERROR((PIB_niveau!D212-PIB_niveau!D208)/PIB_niveau!D208,"")</f>
        <v>0.00675740156792828</v>
      </c>
    </row>
    <row r="213" customFormat="false" ht="15" hidden="false" customHeight="true" outlineLevel="0" collapsed="false">
      <c r="A213" s="5" t="s">
        <v>246</v>
      </c>
      <c r="B213" s="5" t="n">
        <f aca="false">VALUE(LEFT(A213,4))</f>
        <v>2002</v>
      </c>
      <c r="C213" s="8" t="n">
        <v>0.0057663683</v>
      </c>
      <c r="D213" s="8" t="n">
        <f aca="false">IFERROR((PIB_niveau!D213-PIB_niveau!D209)/PIB_niveau!D209,"")</f>
        <v>0.00754623203602798</v>
      </c>
    </row>
    <row r="214" customFormat="false" ht="15" hidden="false" customHeight="true" outlineLevel="0" collapsed="false">
      <c r="A214" s="5" t="s">
        <v>247</v>
      </c>
      <c r="B214" s="5" t="n">
        <f aca="false">VALUE(LEFT(A214,4))</f>
        <v>2002</v>
      </c>
      <c r="C214" s="8" t="n">
        <v>0.0047513828</v>
      </c>
      <c r="D214" s="8" t="n">
        <f aca="false">IFERROR((PIB_niveau!D214-PIB_niveau!D210)/PIB_niveau!D210,"")</f>
        <v>0.0118868987634475</v>
      </c>
    </row>
    <row r="215" customFormat="false" ht="15" hidden="false" customHeight="true" outlineLevel="0" collapsed="false">
      <c r="A215" s="5" t="s">
        <v>248</v>
      </c>
      <c r="B215" s="5" t="n">
        <f aca="false">VALUE(LEFT(A215,4))</f>
        <v>2002</v>
      </c>
      <c r="C215" s="8" t="n">
        <v>0.0040274465</v>
      </c>
      <c r="D215" s="8" t="n">
        <f aca="false">IFERROR((PIB_niveau!D215-PIB_niveau!D211)/PIB_niveau!D211,"")</f>
        <v>0.0101381063487156</v>
      </c>
    </row>
    <row r="216" customFormat="false" ht="15" hidden="false" customHeight="true" outlineLevel="0" collapsed="false">
      <c r="A216" s="5" t="s">
        <v>249</v>
      </c>
      <c r="B216" s="5" t="n">
        <f aca="false">VALUE(LEFT(A216,4))</f>
        <v>2002</v>
      </c>
      <c r="C216" s="8" t="n">
        <v>0.0008600807</v>
      </c>
      <c r="D216" s="8" t="n">
        <f aca="false">IFERROR((PIB_niveau!D216-PIB_niveau!D212)/PIB_niveau!D212,"")</f>
        <v>0.015487319114607</v>
      </c>
    </row>
    <row r="217" customFormat="false" ht="15" hidden="false" customHeight="true" outlineLevel="0" collapsed="false">
      <c r="A217" s="5" t="s">
        <v>250</v>
      </c>
      <c r="B217" s="5" t="n">
        <f aca="false">VALUE(LEFT(A217,4))</f>
        <v>2003</v>
      </c>
      <c r="C217" s="8" t="n">
        <v>0.0028153258</v>
      </c>
      <c r="D217" s="8" t="n">
        <f aca="false">IFERROR((PIB_niveau!D217-PIB_niveau!D213)/PIB_niveau!D213,"")</f>
        <v>0.0125069182087253</v>
      </c>
    </row>
    <row r="218" customFormat="false" ht="15" hidden="false" customHeight="true" outlineLevel="0" collapsed="false">
      <c r="A218" s="5" t="s">
        <v>251</v>
      </c>
      <c r="B218" s="5" t="n">
        <f aca="false">VALUE(LEFT(A218,4))</f>
        <v>2003</v>
      </c>
      <c r="C218" s="8" t="n">
        <v>-0.0043107702</v>
      </c>
      <c r="D218" s="8" t="n">
        <f aca="false">IFERROR((PIB_niveau!D218-PIB_niveau!D214)/PIB_niveau!D214,"")</f>
        <v>0.00337688827329645</v>
      </c>
    </row>
    <row r="219" customFormat="false" ht="15" hidden="false" customHeight="true" outlineLevel="0" collapsed="false">
      <c r="A219" s="5" t="s">
        <v>252</v>
      </c>
      <c r="B219" s="5" t="n">
        <f aca="false">VALUE(LEFT(A219,4))</f>
        <v>2003</v>
      </c>
      <c r="C219" s="8" t="n">
        <v>0.0110171377</v>
      </c>
      <c r="D219" s="8" t="n">
        <f aca="false">IFERROR((PIB_niveau!D219-PIB_niveau!D215)/PIB_niveau!D215,"")</f>
        <v>0.0103603666281698</v>
      </c>
    </row>
    <row r="220" customFormat="false" ht="15" hidden="false" customHeight="true" outlineLevel="0" collapsed="false">
      <c r="A220" s="5" t="s">
        <v>253</v>
      </c>
      <c r="B220" s="5" t="n">
        <f aca="false">VALUE(LEFT(A220,4))</f>
        <v>2003</v>
      </c>
      <c r="C220" s="8" t="n">
        <v>0.0037669268</v>
      </c>
      <c r="D220" s="8" t="n">
        <f aca="false">IFERROR((PIB_niveau!D220-PIB_niveau!D216)/PIB_niveau!D216,"")</f>
        <v>0.0132948298325335</v>
      </c>
    </row>
    <row r="221" customFormat="false" ht="15" hidden="false" customHeight="true" outlineLevel="0" collapsed="false">
      <c r="A221" s="5" t="s">
        <v>254</v>
      </c>
      <c r="B221" s="5" t="n">
        <f aca="false">VALUE(LEFT(A221,4))</f>
        <v>2004</v>
      </c>
      <c r="C221" s="8" t="n">
        <v>0.0103216355</v>
      </c>
      <c r="D221" s="8" t="n">
        <f aca="false">IFERROR((PIB_niveau!D221-PIB_niveau!D217)/PIB_niveau!D217,"")</f>
        <v>0.0208804941763168</v>
      </c>
    </row>
    <row r="222" customFormat="false" ht="15" hidden="false" customHeight="true" outlineLevel="0" collapsed="false">
      <c r="A222" s="5" t="s">
        <v>255</v>
      </c>
      <c r="B222" s="5" t="n">
        <f aca="false">VALUE(LEFT(A222,4))</f>
        <v>2004</v>
      </c>
      <c r="C222" s="8" t="n">
        <v>0.004536159</v>
      </c>
      <c r="D222" s="8" t="n">
        <f aca="false">IFERROR((PIB_niveau!D222-PIB_niveau!D218)/PIB_niveau!D218,"")</f>
        <v>0.0299495768232404</v>
      </c>
    </row>
    <row r="223" customFormat="false" ht="15" hidden="false" customHeight="true" outlineLevel="0" collapsed="false">
      <c r="A223" s="5" t="s">
        <v>256</v>
      </c>
      <c r="B223" s="5" t="n">
        <f aca="false">VALUE(LEFT(A223,4))</f>
        <v>2004</v>
      </c>
      <c r="C223" s="8" t="n">
        <v>0.0035413866</v>
      </c>
      <c r="D223" s="8" t="n">
        <f aca="false">IFERROR((PIB_niveau!D223-PIB_niveau!D219)/PIB_niveau!D219,"")</f>
        <v>0.0223359821201967</v>
      </c>
    </row>
    <row r="224" customFormat="false" ht="15" hidden="false" customHeight="true" outlineLevel="0" collapsed="false">
      <c r="A224" s="5" t="s">
        <v>257</v>
      </c>
      <c r="B224" s="5" t="n">
        <f aca="false">VALUE(LEFT(A224,4))</f>
        <v>2004</v>
      </c>
      <c r="C224" s="8" t="n">
        <v>0.0089327523</v>
      </c>
      <c r="D224" s="8" t="n">
        <f aca="false">IFERROR((PIB_niveau!D224-PIB_niveau!D220)/PIB_niveau!D220,"")</f>
        <v>0.0275971289577773</v>
      </c>
    </row>
    <row r="225" customFormat="false" ht="15" hidden="false" customHeight="true" outlineLevel="0" collapsed="false">
      <c r="A225" s="5" t="s">
        <v>258</v>
      </c>
      <c r="B225" s="5" t="n">
        <f aca="false">VALUE(LEFT(A225,4))</f>
        <v>2005</v>
      </c>
      <c r="C225" s="8" t="n">
        <v>0.0029138843</v>
      </c>
      <c r="D225" s="8" t="n">
        <f aca="false">IFERROR((PIB_niveau!D225-PIB_niveau!D221)/PIB_niveau!D221,"")</f>
        <v>0.0200634767898437</v>
      </c>
    </row>
    <row r="226" customFormat="false" ht="15" hidden="false" customHeight="true" outlineLevel="0" collapsed="false">
      <c r="A226" s="5" t="s">
        <v>259</v>
      </c>
      <c r="B226" s="5" t="n">
        <f aca="false">VALUE(LEFT(A226,4))</f>
        <v>2005</v>
      </c>
      <c r="C226" s="8" t="n">
        <v>0.0021296407</v>
      </c>
      <c r="D226" s="8" t="n">
        <f aca="false">IFERROR((PIB_niveau!D226-PIB_niveau!D222)/PIB_niveau!D222,"")</f>
        <v>0.0176187036743773</v>
      </c>
    </row>
    <row r="227" customFormat="false" ht="15" hidden="false" customHeight="true" outlineLevel="0" collapsed="false">
      <c r="A227" s="5" t="s">
        <v>260</v>
      </c>
      <c r="B227" s="5" t="n">
        <f aca="false">VALUE(LEFT(A227,4))</f>
        <v>2005</v>
      </c>
      <c r="C227" s="8" t="n">
        <v>0.0077911759</v>
      </c>
      <c r="D227" s="8" t="n">
        <f aca="false">IFERROR((PIB_niveau!D227-PIB_niveau!D223)/PIB_niveau!D223,"")</f>
        <v>0.0219288117066562</v>
      </c>
    </row>
    <row r="228" customFormat="false" ht="15" hidden="false" customHeight="true" outlineLevel="0" collapsed="false">
      <c r="A228" s="5" t="s">
        <v>261</v>
      </c>
      <c r="B228" s="5" t="n">
        <f aca="false">VALUE(LEFT(A228,4))</f>
        <v>2005</v>
      </c>
      <c r="C228" s="8" t="n">
        <v>0.0068898688</v>
      </c>
      <c r="D228" s="8" t="n">
        <f aca="false">IFERROR((PIB_niveau!D228-PIB_niveau!D224)/PIB_niveau!D224,"")</f>
        <v>0.0198577853734087</v>
      </c>
    </row>
    <row r="229" customFormat="false" ht="15" hidden="false" customHeight="true" outlineLevel="0" collapsed="false">
      <c r="A229" s="5" t="s">
        <v>262</v>
      </c>
      <c r="B229" s="5" t="n">
        <f aca="false">VALUE(LEFT(A229,4))</f>
        <v>2006</v>
      </c>
      <c r="C229" s="8" t="n">
        <v>0.0086152199</v>
      </c>
      <c r="D229" s="8" t="n">
        <f aca="false">IFERROR((PIB_niveau!D229-PIB_niveau!D225)/PIB_niveau!D225,"")</f>
        <v>0.0256558502565585</v>
      </c>
    </row>
    <row r="230" customFormat="false" ht="15" hidden="false" customHeight="true" outlineLevel="0" collapsed="false">
      <c r="A230" s="5" t="s">
        <v>263</v>
      </c>
      <c r="B230" s="5" t="n">
        <f aca="false">VALUE(LEFT(A230,4))</f>
        <v>2006</v>
      </c>
      <c r="C230" s="8" t="n">
        <v>0.012235004</v>
      </c>
      <c r="D230" s="8" t="n">
        <f aca="false">IFERROR((PIB_niveau!D230-PIB_niveau!D226)/PIB_niveau!D226,"")</f>
        <v>0.0359994306590123</v>
      </c>
    </row>
    <row r="231" customFormat="false" ht="15" hidden="false" customHeight="true" outlineLevel="0" collapsed="false">
      <c r="A231" s="5" t="s">
        <v>264</v>
      </c>
      <c r="B231" s="5" t="n">
        <f aca="false">VALUE(LEFT(A231,4))</f>
        <v>2006</v>
      </c>
      <c r="C231" s="8" t="n">
        <v>0.0007203201</v>
      </c>
      <c r="D231" s="8" t="n">
        <f aca="false">IFERROR((PIB_niveau!D231-PIB_niveau!D227)/PIB_niveau!D227,"")</f>
        <v>0.0287290195864273</v>
      </c>
    </row>
    <row r="232" customFormat="false" ht="15" hidden="false" customHeight="true" outlineLevel="0" collapsed="false">
      <c r="A232" s="5" t="s">
        <v>265</v>
      </c>
      <c r="B232" s="5" t="n">
        <f aca="false">VALUE(LEFT(A232,4))</f>
        <v>2006</v>
      </c>
      <c r="C232" s="8" t="n">
        <v>0.0052947982</v>
      </c>
      <c r="D232" s="8" t="n">
        <f aca="false">IFERROR((PIB_niveau!D232-PIB_niveau!D228)/PIB_niveau!D228,"")</f>
        <v>0.0271017357753759</v>
      </c>
    </row>
    <row r="233" customFormat="false" ht="15" hidden="false" customHeight="true" outlineLevel="0" collapsed="false">
      <c r="A233" s="5" t="s">
        <v>266</v>
      </c>
      <c r="B233" s="5" t="n">
        <f aca="false">VALUE(LEFT(A233,4))</f>
        <v>2007</v>
      </c>
      <c r="C233" s="8" t="n">
        <v>0.0104828135</v>
      </c>
      <c r="D233" s="8" t="n">
        <f aca="false">IFERROR((PIB_niveau!D233-PIB_niveau!D229)/PIB_niveau!D229,"")</f>
        <v>0.0290026256452856</v>
      </c>
    </row>
    <row r="234" customFormat="false" ht="15" hidden="false" customHeight="true" outlineLevel="0" collapsed="false">
      <c r="A234" s="5" t="s">
        <v>267</v>
      </c>
      <c r="B234" s="5" t="n">
        <f aca="false">VALUE(LEFT(A234,4))</f>
        <v>2007</v>
      </c>
      <c r="C234" s="8" t="n">
        <v>0.0065501978</v>
      </c>
      <c r="D234" s="8" t="n">
        <f aca="false">IFERROR((PIB_niveau!D234-PIB_niveau!D230)/PIB_niveau!D230,"")</f>
        <v>0.0232242889645242</v>
      </c>
    </row>
    <row r="235" customFormat="false" ht="15" hidden="false" customHeight="true" outlineLevel="0" collapsed="false">
      <c r="A235" s="5" t="s">
        <v>268</v>
      </c>
      <c r="B235" s="5" t="n">
        <f aca="false">VALUE(LEFT(A235,4))</f>
        <v>2007</v>
      </c>
      <c r="C235" s="8" t="n">
        <v>0.0033887188</v>
      </c>
      <c r="D235" s="8" t="n">
        <f aca="false">IFERROR((PIB_niveau!D235-PIB_niveau!D231)/PIB_niveau!D231,"")</f>
        <v>0.0259533908000739</v>
      </c>
    </row>
    <row r="236" customFormat="false" ht="15" hidden="false" customHeight="true" outlineLevel="0" collapsed="false">
      <c r="A236" s="5" t="s">
        <v>269</v>
      </c>
      <c r="B236" s="5" t="n">
        <f aca="false">VALUE(LEFT(A236,4))</f>
        <v>2007</v>
      </c>
      <c r="C236" s="8" t="n">
        <v>0.0004868272</v>
      </c>
      <c r="D236" s="8" t="n">
        <f aca="false">IFERROR((PIB_niveau!D236-PIB_niveau!D232)/PIB_niveau!D232,"")</f>
        <v>0.0210459230124915</v>
      </c>
    </row>
    <row r="237" customFormat="false" ht="15" hidden="false" customHeight="true" outlineLevel="0" collapsed="false">
      <c r="A237" s="5" t="s">
        <v>270</v>
      </c>
      <c r="B237" s="5" t="n">
        <f aca="false">VALUE(LEFT(A237,4))</f>
        <v>2008</v>
      </c>
      <c r="C237" s="8" t="n">
        <v>0.0089404088</v>
      </c>
      <c r="D237" s="8" t="n">
        <f aca="false">IFERROR((PIB_niveau!D237-PIB_niveau!D233)/PIB_niveau!D233,"")</f>
        <v>0.0194868967107977</v>
      </c>
    </row>
    <row r="238" customFormat="false" ht="15" hidden="false" customHeight="true" outlineLevel="0" collapsed="false">
      <c r="A238" s="5" t="s">
        <v>271</v>
      </c>
      <c r="B238" s="5" t="n">
        <f aca="false">VALUE(LEFT(A238,4))</f>
        <v>2008</v>
      </c>
      <c r="C238" s="8" t="n">
        <v>-0.0075211854</v>
      </c>
      <c r="D238" s="8" t="n">
        <f aca="false">IFERROR((PIB_niveau!D238-PIB_niveau!D234)/PIB_niveau!D234,"")</f>
        <v>0.00523477725342477</v>
      </c>
    </row>
    <row r="239" customFormat="false" ht="15" hidden="false" customHeight="true" outlineLevel="0" collapsed="false">
      <c r="A239" s="5" t="s">
        <v>272</v>
      </c>
      <c r="B239" s="5" t="n">
        <f aca="false">VALUE(LEFT(A239,4))</f>
        <v>2008</v>
      </c>
      <c r="C239" s="8" t="n">
        <v>-0.0022078675</v>
      </c>
      <c r="D239" s="8" t="n">
        <f aca="false">IFERROR((PIB_niveau!D239-PIB_niveau!D235)/PIB_niveau!D235,"")</f>
        <v>-0.000372904641681568</v>
      </c>
    </row>
    <row r="240" customFormat="false" ht="15" hidden="false" customHeight="true" outlineLevel="0" collapsed="false">
      <c r="A240" s="5" t="s">
        <v>273</v>
      </c>
      <c r="B240" s="5" t="n">
        <f aca="false">VALUE(LEFT(A240,4))</f>
        <v>2008</v>
      </c>
      <c r="C240" s="8" t="n">
        <v>-0.012886739</v>
      </c>
      <c r="D240" s="8" t="n">
        <f aca="false">IFERROR((PIB_niveau!D240-PIB_niveau!D236)/PIB_niveau!D236,"")</f>
        <v>-0.0137354700412672</v>
      </c>
    </row>
    <row r="241" customFormat="false" ht="15" hidden="false" customHeight="true" outlineLevel="0" collapsed="false">
      <c r="A241" s="5" t="s">
        <v>274</v>
      </c>
      <c r="B241" s="5" t="n">
        <f aca="false">VALUE(LEFT(A241,4))</f>
        <v>2009</v>
      </c>
      <c r="C241" s="8" t="n">
        <v>-0.0190141122</v>
      </c>
      <c r="D241" s="8" t="n">
        <f aca="false">IFERROR((PIB_niveau!D241-PIB_niveau!D237)/PIB_niveau!D237,"")</f>
        <v>-0.0410604665303288</v>
      </c>
    </row>
    <row r="242" customFormat="false" ht="15" hidden="false" customHeight="true" outlineLevel="0" collapsed="false">
      <c r="A242" s="5" t="s">
        <v>275</v>
      </c>
      <c r="B242" s="5" t="n">
        <f aca="false">VALUE(LEFT(A242,4))</f>
        <v>2009</v>
      </c>
      <c r="C242" s="8" t="n">
        <v>0.0018135402</v>
      </c>
      <c r="D242" s="8" t="n">
        <f aca="false">IFERROR((PIB_niveau!D242-PIB_niveau!D238)/PIB_niveau!D238,"")</f>
        <v>-0.0320429709205408</v>
      </c>
    </row>
    <row r="243" customFormat="false" ht="15" hidden="false" customHeight="true" outlineLevel="0" collapsed="false">
      <c r="A243" s="5" t="s">
        <v>276</v>
      </c>
      <c r="B243" s="5" t="n">
        <f aca="false">VALUE(LEFT(A243,4))</f>
        <v>2009</v>
      </c>
      <c r="C243" s="8" t="n">
        <v>0.0023045605</v>
      </c>
      <c r="D243" s="8" t="n">
        <f aca="false">IFERROR((PIB_niveau!D243-PIB_niveau!D239)/PIB_niveau!D239,"")</f>
        <v>-0.0276641392506283</v>
      </c>
    </row>
    <row r="244" customFormat="false" ht="15" hidden="false" customHeight="true" outlineLevel="0" collapsed="false">
      <c r="A244" s="5" t="s">
        <v>277</v>
      </c>
      <c r="B244" s="5" t="n">
        <f aca="false">VALUE(LEFT(A244,4))</f>
        <v>2009</v>
      </c>
      <c r="C244" s="8" t="n">
        <v>0.0072424499</v>
      </c>
      <c r="D244" s="8" t="n">
        <f aca="false">IFERROR((PIB_niveau!D244-PIB_niveau!D240)/PIB_niveau!D240,"")</f>
        <v>-0.00783674118863862</v>
      </c>
    </row>
    <row r="245" customFormat="false" ht="15" hidden="false" customHeight="true" outlineLevel="0" collapsed="false">
      <c r="A245" s="5" t="s">
        <v>278</v>
      </c>
      <c r="B245" s="5" t="n">
        <f aca="false">VALUE(LEFT(A245,4))</f>
        <v>2010</v>
      </c>
      <c r="C245" s="8" t="n">
        <v>0.0027579709</v>
      </c>
      <c r="D245" s="8" t="n">
        <f aca="false">IFERROR((PIB_niveau!D245-PIB_niveau!D241)/PIB_niveau!D241,"")</f>
        <v>0.0141837827475804</v>
      </c>
    </row>
    <row r="246" customFormat="false" ht="15" hidden="false" customHeight="true" outlineLevel="0" collapsed="false">
      <c r="A246" s="5" t="s">
        <v>279</v>
      </c>
      <c r="B246" s="5" t="n">
        <f aca="false">VALUE(LEFT(A246,4))</f>
        <v>2010</v>
      </c>
      <c r="C246" s="8" t="n">
        <v>0.0048449451</v>
      </c>
      <c r="D246" s="8" t="n">
        <f aca="false">IFERROR((PIB_niveau!D246-PIB_niveau!D242)/PIB_niveau!D242,"")</f>
        <v>0.0172528629044128</v>
      </c>
    </row>
    <row r="247" customFormat="false" ht="15" hidden="false" customHeight="true" outlineLevel="0" collapsed="false">
      <c r="A247" s="5" t="s">
        <v>280</v>
      </c>
      <c r="B247" s="5" t="n">
        <f aca="false">VALUE(LEFT(A247,4))</f>
        <v>2010</v>
      </c>
      <c r="C247" s="8" t="n">
        <v>0.0067929565</v>
      </c>
      <c r="D247" s="8" t="n">
        <f aca="false">IFERROR((PIB_niveau!D247-PIB_niveau!D243)/PIB_niveau!D243,"")</f>
        <v>0.0218078886549416</v>
      </c>
    </row>
    <row r="248" customFormat="false" ht="15" hidden="false" customHeight="true" outlineLevel="0" collapsed="false">
      <c r="A248" s="5" t="s">
        <v>281</v>
      </c>
      <c r="B248" s="5" t="n">
        <f aca="false">VALUE(LEFT(A248,4))</f>
        <v>2010</v>
      </c>
      <c r="C248" s="8" t="n">
        <v>0.0056312522</v>
      </c>
      <c r="D248" s="8" t="n">
        <f aca="false">IFERROR((PIB_niveau!D248-PIB_niveau!D244)/PIB_niveau!D244,"")</f>
        <v>0.0201748854569512</v>
      </c>
    </row>
    <row r="249" customFormat="false" ht="15" hidden="false" customHeight="true" outlineLevel="0" collapsed="false">
      <c r="A249" s="5" t="s">
        <v>282</v>
      </c>
      <c r="B249" s="5" t="n">
        <f aca="false">VALUE(LEFT(A249,4))</f>
        <v>2011</v>
      </c>
      <c r="C249" s="8" t="n">
        <v>0.0132156281</v>
      </c>
      <c r="D249" s="8" t="n">
        <f aca="false">IFERROR((PIB_niveau!D249-PIB_niveau!D245)/PIB_niveau!D245,"")</f>
        <v>0.0308115358332</v>
      </c>
    </row>
    <row r="250" customFormat="false" ht="15" hidden="false" customHeight="true" outlineLevel="0" collapsed="false">
      <c r="A250" s="5" t="s">
        <v>283</v>
      </c>
      <c r="B250" s="5" t="n">
        <f aca="false">VALUE(LEFT(A250,4))</f>
        <v>2011</v>
      </c>
      <c r="C250" s="8" t="n">
        <v>0.0001087255</v>
      </c>
      <c r="D250" s="8" t="n">
        <f aca="false">IFERROR((PIB_niveau!D250-PIB_niveau!D246)/PIB_niveau!D246,"")</f>
        <v>0.0259549523315144</v>
      </c>
    </row>
    <row r="251" customFormat="false" ht="15" hidden="false" customHeight="true" outlineLevel="0" collapsed="false">
      <c r="A251" s="5" t="s">
        <v>284</v>
      </c>
      <c r="B251" s="5" t="n">
        <f aca="false">VALUE(LEFT(A251,4))</f>
        <v>2011</v>
      </c>
      <c r="C251" s="8" t="n">
        <v>0.0033912883</v>
      </c>
      <c r="D251" s="8" t="n">
        <f aca="false">IFERROR((PIB_niveau!D251-PIB_niveau!D247)/PIB_niveau!D247,"")</f>
        <v>0.0224886236452123</v>
      </c>
    </row>
    <row r="252" customFormat="false" ht="15" hidden="false" customHeight="true" outlineLevel="0" collapsed="false">
      <c r="A252" s="5" t="s">
        <v>285</v>
      </c>
      <c r="B252" s="5" t="n">
        <f aca="false">VALUE(LEFT(A252,4))</f>
        <v>2011</v>
      </c>
      <c r="C252" s="8" t="n">
        <v>0.0033209159</v>
      </c>
      <c r="D252" s="8" t="n">
        <f aca="false">IFERROR((PIB_niveau!D252-PIB_niveau!D248)/PIB_niveau!D248,"")</f>
        <v>0.0201385564122534</v>
      </c>
    </row>
    <row r="253" customFormat="false" ht="15" hidden="false" customHeight="true" outlineLevel="0" collapsed="false">
      <c r="A253" s="5" t="s">
        <v>286</v>
      </c>
      <c r="B253" s="5" t="n">
        <f aca="false">VALUE(LEFT(A253,4))</f>
        <v>2012</v>
      </c>
      <c r="C253" s="8" t="n">
        <v>-0.000380017</v>
      </c>
      <c r="D253" s="8" t="n">
        <f aca="false">IFERROR((PIB_niveau!D253-PIB_niveau!D249)/PIB_niveau!D249,"")</f>
        <v>0.00645133990045294</v>
      </c>
    </row>
    <row r="254" customFormat="false" ht="15" hidden="false" customHeight="true" outlineLevel="0" collapsed="false">
      <c r="A254" s="5" t="s">
        <v>287</v>
      </c>
      <c r="B254" s="5" t="n">
        <f aca="false">VALUE(LEFT(A254,4))</f>
        <v>2012</v>
      </c>
      <c r="C254" s="8" t="n">
        <v>-0.004106672</v>
      </c>
      <c r="D254" s="8" t="n">
        <f aca="false">IFERROR((PIB_niveau!D254-PIB_niveau!D250)/PIB_niveau!D250,"")</f>
        <v>0.00220897658978448</v>
      </c>
    </row>
    <row r="255" customFormat="false" ht="15" hidden="false" customHeight="true" outlineLevel="0" collapsed="false">
      <c r="A255" s="5" t="s">
        <v>288</v>
      </c>
      <c r="B255" s="5" t="n">
        <f aca="false">VALUE(LEFT(A255,4))</f>
        <v>2012</v>
      </c>
      <c r="C255" s="8" t="n">
        <v>0.0033840346</v>
      </c>
      <c r="D255" s="8" t="n">
        <f aca="false">IFERROR((PIB_niveau!D255-PIB_niveau!D251)/PIB_niveau!D251,"")</f>
        <v>0.00219975226432179</v>
      </c>
    </row>
    <row r="256" customFormat="false" ht="15" hidden="false" customHeight="true" outlineLevel="0" collapsed="false">
      <c r="A256" s="5" t="s">
        <v>289</v>
      </c>
      <c r="B256" s="5" t="n">
        <f aca="false">VALUE(LEFT(A256,4))</f>
        <v>2012</v>
      </c>
      <c r="C256" s="8" t="n">
        <v>-0.0006148814</v>
      </c>
      <c r="D256" s="8" t="n">
        <f aca="false">IFERROR((PIB_niveau!D256-PIB_niveau!D252)/PIB_niveau!D252,"")</f>
        <v>-0.00173016137082006</v>
      </c>
    </row>
    <row r="257" customFormat="false" ht="15" hidden="false" customHeight="true" outlineLevel="0" collapsed="false">
      <c r="A257" s="5" t="s">
        <v>290</v>
      </c>
      <c r="B257" s="5" t="n">
        <f aca="false">VALUE(LEFT(A257,4))</f>
        <v>2013</v>
      </c>
      <c r="C257" s="8" t="n">
        <v>0.0019182744</v>
      </c>
      <c r="D257" s="8" t="n">
        <f aca="false">IFERROR((PIB_niveau!D257-PIB_niveau!D253)/PIB_niveau!D253,"")</f>
        <v>0.000564092861597544</v>
      </c>
    </row>
    <row r="258" customFormat="false" ht="15" hidden="false" customHeight="true" outlineLevel="0" collapsed="false">
      <c r="A258" s="5" t="s">
        <v>291</v>
      </c>
      <c r="B258" s="5" t="n">
        <f aca="false">VALUE(LEFT(A258,4))</f>
        <v>2013</v>
      </c>
      <c r="C258" s="8" t="n">
        <v>0.0088958382</v>
      </c>
      <c r="D258" s="8" t="n">
        <f aca="false">IFERROR((PIB_niveau!D258-PIB_niveau!D254)/PIB_niveau!D254,"")</f>
        <v>0.0136274723650973</v>
      </c>
    </row>
    <row r="259" customFormat="false" ht="15" hidden="false" customHeight="true" outlineLevel="0" collapsed="false">
      <c r="A259" s="5" t="s">
        <v>292</v>
      </c>
      <c r="B259" s="5" t="n">
        <f aca="false">VALUE(LEFT(A259,4))</f>
        <v>2013</v>
      </c>
      <c r="C259" s="8" t="n">
        <v>-0.0020398985</v>
      </c>
      <c r="D259" s="8" t="n">
        <f aca="false">IFERROR((PIB_niveau!D259-PIB_niveau!D255)/PIB_niveau!D255,"")</f>
        <v>0.0081503207358956</v>
      </c>
    </row>
    <row r="260" customFormat="false" ht="15" hidden="false" customHeight="true" outlineLevel="0" collapsed="false">
      <c r="A260" s="5" t="s">
        <v>293</v>
      </c>
      <c r="B260" s="5" t="n">
        <f aca="false">VALUE(LEFT(A260,4))</f>
        <v>2013</v>
      </c>
      <c r="C260" s="8" t="n">
        <v>0.0060844936</v>
      </c>
      <c r="D260" s="8" t="n">
        <f aca="false">IFERROR((PIB_niveau!D260-PIB_niveau!D256)/PIB_niveau!D256,"")</f>
        <v>0.0149072812017043</v>
      </c>
    </row>
    <row r="261" customFormat="false" ht="15" hidden="false" customHeight="true" outlineLevel="0" collapsed="false">
      <c r="A261" s="5" t="s">
        <v>294</v>
      </c>
      <c r="B261" s="5" t="n">
        <f aca="false">VALUE(LEFT(A261,4))</f>
        <v>2014</v>
      </c>
      <c r="C261" s="8" t="n">
        <v>-0.0001731538</v>
      </c>
      <c r="D261" s="8" t="n">
        <f aca="false">IFERROR((PIB_niveau!D261-PIB_niveau!D257)/PIB_niveau!D257,"")</f>
        <v>0.0127882342642038</v>
      </c>
    </row>
    <row r="262" customFormat="false" ht="15" hidden="false" customHeight="true" outlineLevel="0" collapsed="false">
      <c r="A262" s="5" t="s">
        <v>295</v>
      </c>
      <c r="B262" s="5" t="n">
        <f aca="false">VALUE(LEFT(A262,4))</f>
        <v>2014</v>
      </c>
      <c r="C262" s="8" t="n">
        <v>0.0022898603</v>
      </c>
      <c r="D262" s="8" t="n">
        <f aca="false">IFERROR((PIB_niveau!D262-PIB_niveau!D258)/PIB_niveau!D258,"")</f>
        <v>0.00615725290725421</v>
      </c>
    </row>
    <row r="263" customFormat="false" ht="15" hidden="false" customHeight="true" outlineLevel="0" collapsed="false">
      <c r="A263" s="5" t="s">
        <v>296</v>
      </c>
      <c r="B263" s="5" t="n">
        <f aca="false">VALUE(LEFT(A263,4))</f>
        <v>2014</v>
      </c>
      <c r="C263" s="8" t="n">
        <v>0.0067807243</v>
      </c>
      <c r="D263" s="8" t="n">
        <f aca="false">IFERROR((PIB_niveau!D263-PIB_niveau!D259)/PIB_niveau!D259,"")</f>
        <v>0.0150489691438747</v>
      </c>
    </row>
    <row r="264" customFormat="false" ht="15" hidden="false" customHeight="true" outlineLevel="0" collapsed="false">
      <c r="A264" s="5" t="s">
        <v>297</v>
      </c>
      <c r="B264" s="5" t="n">
        <f aca="false">VALUE(LEFT(A264,4))</f>
        <v>2014</v>
      </c>
      <c r="C264" s="8" t="n">
        <v>-0.0029202479</v>
      </c>
      <c r="D264" s="8" t="n">
        <f aca="false">IFERROR((PIB_niveau!D264-PIB_niveau!D260)/PIB_niveau!D260,"")</f>
        <v>0.00596486073061338</v>
      </c>
    </row>
    <row r="265" customFormat="false" ht="15" hidden="false" customHeight="true" outlineLevel="0" collapsed="false">
      <c r="A265" s="5" t="s">
        <v>298</v>
      </c>
      <c r="B265" s="5" t="n">
        <f aca="false">VALUE(LEFT(A265,4))</f>
        <v>2015</v>
      </c>
      <c r="C265" s="8" t="n">
        <v>0.0056826956</v>
      </c>
      <c r="D265" s="8" t="n">
        <f aca="false">IFERROR((PIB_niveau!D265-PIB_niveau!D261)/PIB_niveau!D261,"")</f>
        <v>0.0118574683553058</v>
      </c>
    </row>
    <row r="266" customFormat="false" ht="15" hidden="false" customHeight="true" outlineLevel="0" collapsed="false">
      <c r="A266" s="5" t="s">
        <v>299</v>
      </c>
      <c r="B266" s="5" t="n">
        <f aca="false">VALUE(LEFT(A266,4))</f>
        <v>2015</v>
      </c>
      <c r="C266" s="8" t="n">
        <v>0.0003821046</v>
      </c>
      <c r="D266" s="8" t="n">
        <f aca="false">IFERROR((PIB_niveau!D266-PIB_niveau!D262)/PIB_niveau!D262,"")</f>
        <v>0.00993137040148063</v>
      </c>
    </row>
    <row r="267" customFormat="false" ht="15" hidden="false" customHeight="true" outlineLevel="0" collapsed="false">
      <c r="A267" s="5" t="s">
        <v>300</v>
      </c>
      <c r="B267" s="5" t="n">
        <f aca="false">VALUE(LEFT(A267,4))</f>
        <v>2015</v>
      </c>
      <c r="C267" s="8" t="n">
        <v>0.0030524813</v>
      </c>
      <c r="D267" s="8" t="n">
        <f aca="false">IFERROR((PIB_niveau!D267-PIB_niveau!D263)/PIB_niveau!D263,"")</f>
        <v>0.00619143067619181</v>
      </c>
    </row>
    <row r="268" customFormat="false" ht="15" hidden="false" customHeight="true" outlineLevel="0" collapsed="false">
      <c r="A268" s="5" t="s">
        <v>301</v>
      </c>
      <c r="B268" s="5" t="n">
        <f aca="false">VALUE(LEFT(A268,4))</f>
        <v>2015</v>
      </c>
      <c r="C268" s="8" t="n">
        <v>0.0027866693</v>
      </c>
      <c r="D268" s="8" t="n">
        <f aca="false">IFERROR((PIB_niveau!D268-PIB_niveau!D264)/PIB_niveau!D264,"")</f>
        <v>0.0119500486249283</v>
      </c>
    </row>
    <row r="269" customFormat="false" ht="15" hidden="false" customHeight="true" outlineLevel="0" collapsed="false">
      <c r="A269" s="5" t="s">
        <v>302</v>
      </c>
      <c r="B269" s="5" t="n">
        <f aca="false">VALUE(LEFT(A269,4))</f>
        <v>2016</v>
      </c>
      <c r="C269" s="8" t="n">
        <v>0.0030950043</v>
      </c>
      <c r="D269" s="8" t="n">
        <f aca="false">IFERROR((PIB_niveau!D269-PIB_niveau!D265)/PIB_niveau!D265,"")</f>
        <v>0.00934713563512173</v>
      </c>
    </row>
    <row r="270" customFormat="false" ht="15" hidden="false" customHeight="true" outlineLevel="0" collapsed="false">
      <c r="A270" s="5" t="s">
        <v>303</v>
      </c>
      <c r="B270" s="5" t="n">
        <f aca="false">VALUE(LEFT(A270,4))</f>
        <v>2016</v>
      </c>
      <c r="C270" s="8" t="n">
        <v>-0.0026036976</v>
      </c>
      <c r="D270" s="8" t="n">
        <f aca="false">IFERROR((PIB_niveau!D270-PIB_niveau!D266)/PIB_niveau!D266,"")</f>
        <v>0.00633264849189713</v>
      </c>
    </row>
    <row r="271" customFormat="false" ht="15" hidden="false" customHeight="true" outlineLevel="0" collapsed="false">
      <c r="A271" s="5" t="s">
        <v>304</v>
      </c>
      <c r="B271" s="5" t="n">
        <f aca="false">VALUE(LEFT(A271,4))</f>
        <v>2016</v>
      </c>
      <c r="C271" s="8" t="n">
        <v>0.0018172741</v>
      </c>
      <c r="D271" s="8" t="n">
        <f aca="false">IFERROR((PIB_niveau!D271-PIB_niveau!D267)/PIB_niveau!D267,"")</f>
        <v>0.00509429207728626</v>
      </c>
    </row>
    <row r="272" customFormat="false" ht="15" hidden="false" customHeight="true" outlineLevel="0" collapsed="false">
      <c r="A272" s="5" t="s">
        <v>305</v>
      </c>
      <c r="B272" s="5" t="n">
        <f aca="false">VALUE(LEFT(A272,4))</f>
        <v>2016</v>
      </c>
      <c r="C272" s="8" t="n">
        <v>0.0064118597</v>
      </c>
      <c r="D272" s="8" t="n">
        <f aca="false">IFERROR((PIB_niveau!D272-PIB_niveau!D268)/PIB_niveau!D268,"")</f>
        <v>0.00872723321238586</v>
      </c>
    </row>
    <row r="273" customFormat="false" ht="15" hidden="false" customHeight="true" outlineLevel="0" collapsed="false">
      <c r="A273" s="5" t="s">
        <v>306</v>
      </c>
      <c r="B273" s="5" t="n">
        <f aca="false">VALUE(LEFT(A273,4))</f>
        <v>2017</v>
      </c>
      <c r="C273" s="8" t="n">
        <v>0.0066260653</v>
      </c>
      <c r="D273" s="8" t="n">
        <f aca="false">IFERROR((PIB_niveau!D273-PIB_niveau!D269)/PIB_niveau!D269,"")</f>
        <v>0.0122785992850179</v>
      </c>
    </row>
    <row r="274" customFormat="false" ht="15" hidden="false" customHeight="true" outlineLevel="0" collapsed="false">
      <c r="A274" s="5" t="s">
        <v>307</v>
      </c>
      <c r="B274" s="5" t="n">
        <f aca="false">VALUE(LEFT(A274,4))</f>
        <v>2017</v>
      </c>
      <c r="C274" s="8" t="n">
        <v>0.007416512</v>
      </c>
      <c r="D274" s="8" t="n">
        <f aca="false">IFERROR((PIB_niveau!D274-PIB_niveau!D270)/PIB_niveau!D270,"")</f>
        <v>0.0224490661779055</v>
      </c>
    </row>
    <row r="275" customFormat="false" ht="15" hidden="false" customHeight="true" outlineLevel="0" collapsed="false">
      <c r="A275" s="5" t="s">
        <v>308</v>
      </c>
      <c r="B275" s="5" t="n">
        <f aca="false">VALUE(LEFT(A275,4))</f>
        <v>2017</v>
      </c>
      <c r="C275" s="8" t="n">
        <v>0.0074698159</v>
      </c>
      <c r="D275" s="8" t="n">
        <f aca="false">IFERROR((PIB_niveau!D275-PIB_niveau!D271)/PIB_niveau!D271,"")</f>
        <v>0.0282170905074569</v>
      </c>
    </row>
    <row r="276" customFormat="false" ht="15" hidden="false" customHeight="true" outlineLevel="0" collapsed="false">
      <c r="A276" s="5" t="s">
        <v>309</v>
      </c>
      <c r="B276" s="5" t="n">
        <f aca="false">VALUE(LEFT(A276,4))</f>
        <v>2017</v>
      </c>
      <c r="C276" s="8" t="n">
        <v>0.0060080556</v>
      </c>
      <c r="D276" s="8" t="n">
        <f aca="false">IFERROR((PIB_niveau!D276-PIB_niveau!D272)/PIB_niveau!D272,"")</f>
        <v>0.0278050365173599</v>
      </c>
    </row>
    <row r="277" customFormat="false" ht="15" hidden="false" customHeight="true" outlineLevel="0" collapsed="false">
      <c r="A277" s="5" t="s">
        <v>310</v>
      </c>
      <c r="B277" s="5" t="n">
        <f aca="false">VALUE(LEFT(A277,4))</f>
        <v>2018</v>
      </c>
      <c r="C277" s="8" t="n">
        <v>-0.0005696594</v>
      </c>
      <c r="D277" s="8" t="n">
        <f aca="false">IFERROR((PIB_niveau!D277-PIB_niveau!D273)/PIB_niveau!D273,"")</f>
        <v>0.0204568940435224</v>
      </c>
    </row>
    <row r="278" customFormat="false" ht="15" hidden="false" customHeight="true" outlineLevel="0" collapsed="false">
      <c r="A278" s="5" t="s">
        <v>311</v>
      </c>
      <c r="B278" s="5" t="n">
        <f aca="false">VALUE(LEFT(A278,4))</f>
        <v>2018</v>
      </c>
      <c r="C278" s="8" t="n">
        <v>0.0023392963</v>
      </c>
      <c r="D278" s="8" t="n">
        <f aca="false">IFERROR((PIB_niveau!D278-PIB_niveau!D274)/PIB_niveau!D274,"")</f>
        <v>0.0153152091463021</v>
      </c>
    </row>
    <row r="279" customFormat="false" ht="15" hidden="false" customHeight="true" outlineLevel="0" collapsed="false">
      <c r="A279" s="5" t="s">
        <v>312</v>
      </c>
      <c r="B279" s="5" t="n">
        <f aca="false">VALUE(LEFT(A279,4))</f>
        <v>2018</v>
      </c>
      <c r="C279" s="8" t="n">
        <v>0.0054358943</v>
      </c>
      <c r="D279" s="8" t="n">
        <f aca="false">IFERROR((PIB_niveau!D279-PIB_niveau!D275)/PIB_niveau!D275,"")</f>
        <v>0.0132658289577955</v>
      </c>
    </row>
    <row r="280" customFormat="false" ht="15" hidden="false" customHeight="true" outlineLevel="0" collapsed="false">
      <c r="A280" s="5" t="s">
        <v>313</v>
      </c>
      <c r="B280" s="5" t="n">
        <f aca="false">VALUE(LEFT(A280,4))</f>
        <v>2018</v>
      </c>
      <c r="C280" s="8" t="n">
        <v>0.0071586658</v>
      </c>
      <c r="D280" s="8" t="n">
        <f aca="false">IFERROR((PIB_niveau!D280-PIB_niveau!D276)/PIB_niveau!D276,"")</f>
        <v>0.0144246831089712</v>
      </c>
    </row>
    <row r="281" customFormat="false" ht="15" hidden="false" customHeight="true" outlineLevel="0" collapsed="false">
      <c r="A281" s="5" t="s">
        <v>314</v>
      </c>
      <c r="B281" s="5" t="n">
        <f aca="false">VALUE(LEFT(A281,4))</f>
        <v>2019</v>
      </c>
      <c r="C281" s="8" t="n">
        <v>0.0094999326</v>
      </c>
      <c r="D281" s="8" t="n">
        <f aca="false">IFERROR((PIB_niveau!D281-PIB_niveau!D277)/PIB_niveau!D277,"")</f>
        <v>0.0246447485711289</v>
      </c>
    </row>
    <row r="282" customFormat="false" ht="15" hidden="false" customHeight="true" outlineLevel="0" collapsed="false">
      <c r="A282" s="5" t="s">
        <v>315</v>
      </c>
      <c r="B282" s="5" t="n">
        <f aca="false">VALUE(LEFT(A282,4))</f>
        <v>2019</v>
      </c>
      <c r="C282" s="8" t="n">
        <v>0.0050595451</v>
      </c>
      <c r="D282" s="8" t="n">
        <f aca="false">IFERROR((PIB_niveau!D282-PIB_niveau!D278)/PIB_niveau!D278,"")</f>
        <v>0.0274252084355075</v>
      </c>
    </row>
    <row r="283" customFormat="false" ht="15" hidden="false" customHeight="true" outlineLevel="0" collapsed="false">
      <c r="A283" s="5" t="s">
        <v>316</v>
      </c>
      <c r="B283" s="5" t="n">
        <f aca="false">VALUE(LEFT(A283,4))</f>
        <v>2019</v>
      </c>
      <c r="C283" s="8" t="n">
        <v>0.0003927717</v>
      </c>
      <c r="D283" s="8" t="n">
        <f aca="false">IFERROR((PIB_niveau!D283-PIB_niveau!D279)/PIB_niveau!D279,"")</f>
        <v>0.0222722653550668</v>
      </c>
    </row>
    <row r="284" customFormat="false" ht="15" hidden="false" customHeight="true" outlineLevel="0" collapsed="false">
      <c r="A284" s="5" t="s">
        <v>317</v>
      </c>
      <c r="B284" s="5" t="n">
        <f aca="false">VALUE(LEFT(A284,4))</f>
        <v>2019</v>
      </c>
      <c r="C284" s="8" t="n">
        <v>-0.0050546173</v>
      </c>
      <c r="D284" s="8" t="n">
        <f aca="false">IFERROR((PIB_niveau!D284-PIB_niveau!D280)/PIB_niveau!D280,"")</f>
        <v>0.00987523973730597</v>
      </c>
    </row>
    <row r="285" customFormat="false" ht="15" hidden="false" customHeight="true" outlineLevel="0" collapsed="false">
      <c r="A285" s="5" t="s">
        <v>318</v>
      </c>
      <c r="B285" s="5" t="n">
        <f aca="false">VALUE(LEFT(A285,4))</f>
        <v>2020</v>
      </c>
      <c r="C285" s="8" t="n">
        <v>-0.0499059053</v>
      </c>
      <c r="D285" s="8" t="n">
        <f aca="false">IFERROR((PIB_niveau!D285-PIB_niveau!D281)/PIB_niveau!D281,"")</f>
        <v>-0.0495512640090067</v>
      </c>
    </row>
    <row r="286" customFormat="false" ht="15" hidden="false" customHeight="true" outlineLevel="0" collapsed="false">
      <c r="A286" s="5" t="s">
        <v>319</v>
      </c>
      <c r="B286" s="5" t="n">
        <f aca="false">VALUE(LEFT(A286,4))</f>
        <v>2020</v>
      </c>
      <c r="C286" s="8" t="n">
        <v>-0.1223031975</v>
      </c>
      <c r="D286" s="8" t="n">
        <f aca="false">IFERROR((PIB_niveau!D286-PIB_niveau!D282)/PIB_niveau!D282,"")</f>
        <v>-0.169993762689426</v>
      </c>
    </row>
    <row r="287" customFormat="false" ht="15" hidden="false" customHeight="true" outlineLevel="0" collapsed="false">
      <c r="A287" s="5" t="s">
        <v>320</v>
      </c>
      <c r="B287" s="5" t="n">
        <f aca="false">VALUE(LEFT(A287,4))</f>
        <v>2020</v>
      </c>
      <c r="C287" s="8" t="n">
        <v>0.1515219035</v>
      </c>
      <c r="D287" s="8" t="n">
        <f aca="false">IFERROR((PIB_niveau!D287-PIB_niveau!D283)/PIB_niveau!D283,"")</f>
        <v>-0.0446062892561589</v>
      </c>
    </row>
    <row r="288" customFormat="false" ht="15" hidden="false" customHeight="true" outlineLevel="0" collapsed="false">
      <c r="A288" s="5" t="s">
        <v>321</v>
      </c>
      <c r="B288" s="5" t="n">
        <f aca="false">VALUE(LEFT(A288,4))</f>
        <v>2020</v>
      </c>
      <c r="C288" s="8" t="n">
        <v>-9.1402E-005</v>
      </c>
      <c r="D288" s="8" t="n">
        <f aca="false">IFERROR((PIB_niveau!D288-PIB_niveau!D284)/PIB_niveau!D284,"")</f>
        <v>-0.0398404591196475</v>
      </c>
    </row>
    <row r="289" customFormat="false" ht="15" hidden="false" customHeight="true" outlineLevel="0" collapsed="false">
      <c r="A289" s="5" t="s">
        <v>322</v>
      </c>
      <c r="B289" s="5" t="n">
        <f aca="false">VALUE(LEFT(A289,4))</f>
        <v>2021</v>
      </c>
      <c r="C289" s="8" t="n">
        <v>0.0044841972</v>
      </c>
      <c r="D289" s="8" t="n">
        <f aca="false">IFERROR((PIB_niveau!D289-PIB_niveau!D285)/PIB_niveau!D285,"")</f>
        <v>0.0151263530009574</v>
      </c>
    </row>
    <row r="290" customFormat="false" ht="15" hidden="false" customHeight="true" outlineLevel="0" collapsed="false">
      <c r="A290" s="5" t="s">
        <v>323</v>
      </c>
      <c r="B290" s="5" t="n">
        <f aca="false">VALUE(LEFT(A290,4))</f>
        <v>2021</v>
      </c>
      <c r="C290" s="8" t="n">
        <v>0.0120255238</v>
      </c>
      <c r="D290" s="8" t="n">
        <f aca="false">IFERROR((PIB_niveau!D290-PIB_niveau!D286)/PIB_niveau!D286,"")</f>
        <v>0.170487636085492</v>
      </c>
    </row>
    <row r="291" customFormat="false" ht="15" hidden="false" customHeight="true" outlineLevel="0" collapsed="false">
      <c r="A291" s="5" t="s">
        <v>324</v>
      </c>
      <c r="B291" s="5" t="n">
        <f aca="false">VALUE(LEFT(A291,4))</f>
        <v>2021</v>
      </c>
      <c r="C291" s="8" t="n">
        <v>0.029779572</v>
      </c>
      <c r="D291" s="8" t="n">
        <f aca="false">IFERROR((PIB_niveau!D291-PIB_niveau!D287)/PIB_niveau!D287,"")</f>
        <v>0.0467405165496323</v>
      </c>
    </row>
    <row r="292" customFormat="false" ht="15" hidden="false" customHeight="true" outlineLevel="0" collapsed="false">
      <c r="A292" s="5" t="s">
        <v>325</v>
      </c>
      <c r="B292" s="5" t="n">
        <f aca="false">VALUE(LEFT(A292,4))</f>
        <v>2021</v>
      </c>
      <c r="C292" s="8" t="n">
        <v>0.0050997952</v>
      </c>
      <c r="D292" s="8" t="n">
        <f aca="false">IFERROR((PIB_niveau!D292-PIB_niveau!D288)/PIB_niveau!D288,"")</f>
        <v>0.05217582410264</v>
      </c>
    </row>
    <row r="293" customFormat="false" ht="15" hidden="false" customHeight="true" outlineLevel="0" collapsed="false">
      <c r="A293" s="5" t="s">
        <v>326</v>
      </c>
      <c r="B293" s="5" t="n">
        <f aca="false">VALUE(LEFT(A293,4))</f>
        <v>2022</v>
      </c>
      <c r="C293" s="8" t="n">
        <v>-0.0001390782</v>
      </c>
      <c r="D293" s="8" t="n">
        <f aca="false">IFERROR((PIB_niveau!D293-PIB_niveau!D289)/PIB_niveau!D289,"")</f>
        <v>0.0473316680948822</v>
      </c>
    </row>
    <row r="294" customFormat="false" ht="15" hidden="false" customHeight="true" outlineLevel="0" collapsed="false">
      <c r="A294" s="5" t="s">
        <v>327</v>
      </c>
      <c r="B294" s="5" t="n">
        <f aca="false">VALUE(LEFT(A294,4))</f>
        <v>2022</v>
      </c>
      <c r="C294" s="8" t="n">
        <v>0.0039049567</v>
      </c>
      <c r="D294" s="8" t="n">
        <f aca="false">IFERROR((PIB_niveau!D294-PIB_niveau!D290)/PIB_niveau!D290,"")</f>
        <v>0.038929069790295</v>
      </c>
    </row>
    <row r="295" customFormat="false" ht="15" hidden="false" customHeight="true" outlineLevel="0" collapsed="false">
      <c r="A295" s="5" t="s">
        <v>328</v>
      </c>
      <c r="B295" s="5" t="n">
        <f aca="false">VALUE(LEFT(A295,4))</f>
        <v>2022</v>
      </c>
      <c r="C295" s="8" t="n">
        <v>0.0050810226</v>
      </c>
      <c r="D295" s="8" t="n">
        <f aca="false">IFERROR((PIB_niveau!D295-PIB_niveau!D291)/PIB_niveau!D291,"")</f>
        <v>0.0140118392884975</v>
      </c>
    </row>
    <row r="296" customFormat="false" ht="15" hidden="false" customHeight="true" outlineLevel="0" collapsed="false">
      <c r="A296" s="5" t="s">
        <v>329</v>
      </c>
      <c r="B296" s="5" t="n">
        <f aca="false">VALUE(LEFT(A296,4))</f>
        <v>2022</v>
      </c>
      <c r="C296" s="8" t="n">
        <v>0.0039990214</v>
      </c>
      <c r="D296" s="8" t="n">
        <f aca="false">IFERROR((PIB_niveau!D296-PIB_niveau!D292)/PIB_niveau!D292,"")</f>
        <v>0.0128995301925278</v>
      </c>
    </row>
    <row r="297" customFormat="false" ht="15" hidden="false" customHeight="true" outlineLevel="0" collapsed="false">
      <c r="A297" s="5" t="s">
        <v>330</v>
      </c>
      <c r="B297" s="5" t="n">
        <f aca="false">VALUE(LEFT(A297,4))</f>
        <v>2023</v>
      </c>
      <c r="C297" s="8" t="n">
        <v>0.0014043342</v>
      </c>
      <c r="D297" s="8" t="n">
        <f aca="false">IFERROR((PIB_niveau!D297-PIB_niveau!D293)/PIB_niveau!D293,"")</f>
        <v>0.0144633494388902</v>
      </c>
    </row>
    <row r="298" customFormat="false" ht="15" hidden="false" customHeight="true" outlineLevel="0" collapsed="false">
      <c r="A298" s="5" t="s">
        <v>331</v>
      </c>
      <c r="B298" s="5" t="n">
        <f aca="false">VALUE(LEFT(A298,4))</f>
        <v>2023</v>
      </c>
      <c r="C298" s="8" t="n">
        <v>0.009459445</v>
      </c>
      <c r="D298" s="8" t="n">
        <f aca="false">IFERROR((PIB_niveau!D298-PIB_niveau!D294)/PIB_niveau!D294,"")</f>
        <v>0.0200759528392458</v>
      </c>
    </row>
    <row r="299" customFormat="false" ht="15" hidden="false" customHeight="true" outlineLevel="0" collapsed="false">
      <c r="A299" s="5" t="s">
        <v>332</v>
      </c>
      <c r="B299" s="5" t="n">
        <f aca="false">VALUE(LEFT(A299,4))</f>
        <v>2023</v>
      </c>
      <c r="C299" s="8" t="n">
        <v>0.0036098058</v>
      </c>
      <c r="D299" s="8" t="n">
        <f aca="false">IFERROR((PIB_niveau!D299-PIB_niveau!D295)/PIB_niveau!D295,"")</f>
        <v>0.0185832324284308</v>
      </c>
    </row>
    <row r="300" customFormat="false" ht="15" hidden="false" customHeight="true" outlineLevel="0" collapsed="false">
      <c r="A300" s="5" t="s">
        <v>333</v>
      </c>
      <c r="B300" s="5" t="n">
        <f aca="false">VALUE(LEFT(A300,4))</f>
        <v>2023</v>
      </c>
      <c r="C300" s="8" t="n">
        <v>0.0050092786</v>
      </c>
      <c r="D300" s="8" t="n">
        <f aca="false">IFERROR((PIB_niveau!D300-PIB_niveau!D296)/PIB_niveau!D296,"")</f>
        <v>0.019609037779267</v>
      </c>
    </row>
    <row r="301" customFormat="false" ht="15" hidden="false" customHeight="true" outlineLevel="0" collapsed="false">
      <c r="A301" s="5" t="s">
        <v>334</v>
      </c>
      <c r="B301" s="5" t="n">
        <f aca="false">VALUE(LEFT(A301,4))</f>
        <v>2024</v>
      </c>
      <c r="C301" s="8" t="n">
        <v>0.0024072496</v>
      </c>
      <c r="D301" s="8" t="n">
        <f aca="false">IFERROR((PIB_niveau!D301-PIB_niveau!D297)/PIB_niveau!D297,"")</f>
        <v>0.0206298790038253</v>
      </c>
    </row>
    <row r="302" customFormat="false" ht="15" hidden="false" customHeight="true" outlineLevel="0" collapsed="false">
      <c r="A302" s="5" t="s">
        <v>335</v>
      </c>
      <c r="B302" s="5" t="n">
        <f aca="false">VALUE(LEFT(A302,4))</f>
        <v>2024</v>
      </c>
      <c r="C302" s="8" t="n">
        <v>0.002535192</v>
      </c>
      <c r="D302" s="8" t="n">
        <f aca="false">IFERROR((PIB_niveau!D302-PIB_niveau!D298)/PIB_niveau!D298,"")</f>
        <v>0.0136274564347928</v>
      </c>
    </row>
    <row r="303" customFormat="false" ht="15" hidden="false" customHeight="true" outlineLevel="0" collapsed="false">
      <c r="A303" s="5" t="s">
        <v>336</v>
      </c>
      <c r="B303" s="5" t="n">
        <f aca="false">VALUE(LEFT(A303,4))</f>
        <v>2024</v>
      </c>
      <c r="C303" s="8" t="n">
        <v>0.0041010751</v>
      </c>
      <c r="D303" s="8" t="n">
        <f aca="false">IFERROR((PIB_niveau!D303-PIB_niveau!D299)/PIB_niveau!D299,"")</f>
        <v>0.0141235456074109</v>
      </c>
    </row>
    <row r="304" customFormat="false" ht="15" hidden="false" customHeight="true" outlineLevel="0" collapsed="false">
      <c r="A304" s="5" t="s">
        <v>337</v>
      </c>
      <c r="B304" s="5" t="n">
        <f aca="false">VALUE(LEFT(A304,4))</f>
        <v>2024</v>
      </c>
      <c r="C304" s="8" t="n">
        <v>-0.0002866669</v>
      </c>
      <c r="D304" s="8" t="n">
        <f aca="false">IFERROR((PIB_niveau!D304-PIB_niveau!D300)/PIB_niveau!D300,"")</f>
        <v>0.00878092129959473</v>
      </c>
    </row>
    <row r="305" customFormat="false" ht="15" hidden="false" customHeight="true" outlineLevel="0" collapsed="false">
      <c r="A305" s="5" t="s">
        <v>338</v>
      </c>
      <c r="B305" s="5" t="n">
        <f aca="false">VALUE(LEFT(A305,4))</f>
        <v>2025</v>
      </c>
      <c r="C305" s="8" t="n">
        <v>0.0016326619</v>
      </c>
      <c r="D305" s="8" t="n">
        <f aca="false">IFERROR((PIB_niveau!D305-PIB_niveau!D301)/PIB_niveau!D301,"")</f>
        <v>0.00800017119204696</v>
      </c>
    </row>
    <row r="306" customFormat="false" ht="15" hidden="false" customHeight="true" outlineLevel="0" collapsed="false">
      <c r="A306" s="5" t="s">
        <v>339</v>
      </c>
      <c r="B306" s="5" t="n">
        <f aca="false">VALUE(LEFT(A306,4))</f>
        <v>2025</v>
      </c>
      <c r="C306" s="8" t="n">
        <v>0.0024991761</v>
      </c>
      <c r="D306" s="8" t="n">
        <f aca="false">IFERROR((PIB_niveau!D306-PIB_niveau!D302)/PIB_niveau!D302,"")</f>
        <v>0.00796622624997335</v>
      </c>
    </row>
    <row r="307" customFormat="false" ht="15" hidden="false" customHeight="true" outlineLevel="0" collapsed="false">
      <c r="A307" s="5" t="s">
        <v>340</v>
      </c>
      <c r="B307" s="5" t="n">
        <f aca="false">VALUE(LEFT(A307,4))</f>
        <v>2025</v>
      </c>
      <c r="C307" s="8" t="n">
        <v>0.004393292</v>
      </c>
      <c r="D307" s="8" t="n">
        <f aca="false">IFERROR((PIB_niveau!D307-PIB_niveau!D303)/PIB_niveau!D303,"")</f>
        <v>0.00825862760103507</v>
      </c>
    </row>
    <row r="308" customFormat="false" ht="15" hidden="false" customHeight="true" outlineLevel="0" collapsed="false">
      <c r="A308" s="5" t="s">
        <v>341</v>
      </c>
      <c r="B308" s="5" t="n">
        <f aca="false">VALUE(LEFT(A308,4))</f>
        <v>2025</v>
      </c>
      <c r="C308" s="8" t="n">
        <v>0.0027198131</v>
      </c>
      <c r="D308" s="8" t="n">
        <f aca="false">IFERROR((PIB_niveau!D308-PIB_niveau!D304)/PIB_niveau!D304,"")</f>
        <v>0.0112895582597707</v>
      </c>
    </row>
    <row r="309" customFormat="false" ht="15" hidden="false" customHeight="true" outlineLevel="0" collapsed="false">
      <c r="A309" s="5" t="s">
        <v>342</v>
      </c>
      <c r="B309" s="5" t="n">
        <f aca="false">VALUE(LEFT(A309,4))</f>
        <v>2026</v>
      </c>
      <c r="C309" s="8" t="n">
        <v>-0.0014611169</v>
      </c>
      <c r="D309" s="8" t="n">
        <f aca="false">IFERROR((PIB_niveau!D309-PIB_niveau!D305)/PIB_niveau!D305,"")</f>
        <v>0.00816716454122245</v>
      </c>
    </row>
    <row r="310" customFormat="false" ht="15" hidden="false" customHeight="true" outlineLevel="0" collapsed="false">
      <c r="A310" s="5" t="s">
        <v>11</v>
      </c>
      <c r="B310" s="5" t="n">
        <f aca="false">VALUE(LEFT(A310,4))</f>
        <v>2026</v>
      </c>
      <c r="C310" s="8" t="n">
        <v>0.0016424975</v>
      </c>
      <c r="D310" s="8" t="n">
        <f aca="false">IFERROR((PIB_niveau!D310-PIB_niveau!D306)/PIB_niveau!D306,"")</f>
        <v>0.00730428258755224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15" hidden="false" customHeight="true" outlineLevel="0" collapsed="false">
      <c r="A1" s="4" t="s">
        <v>31</v>
      </c>
      <c r="B1" s="4" t="s">
        <v>10</v>
      </c>
      <c r="C1" s="4" t="s">
        <v>345</v>
      </c>
      <c r="D1" s="4" t="s">
        <v>346</v>
      </c>
      <c r="E1" s="4" t="s">
        <v>347</v>
      </c>
      <c r="F1" s="4" t="s">
        <v>348</v>
      </c>
      <c r="G1" s="4" t="s">
        <v>349</v>
      </c>
      <c r="H1" s="4" t="s">
        <v>350</v>
      </c>
      <c r="I1" s="4" t="s">
        <v>351</v>
      </c>
    </row>
    <row r="2" customFormat="false" ht="15" hidden="false" customHeight="false" outlineLevel="0" collapsed="false">
      <c r="A2" s="9" t="n">
        <v>1961</v>
      </c>
      <c r="B2" s="10" t="n">
        <v>0.0842208400783846</v>
      </c>
      <c r="C2" s="10"/>
      <c r="D2" s="10" t="n">
        <v>0.0365563216716625</v>
      </c>
      <c r="E2" s="10" t="n">
        <v>0.207792775629772</v>
      </c>
      <c r="F2" s="10" t="n">
        <v>0.065557505914676</v>
      </c>
      <c r="G2" s="10"/>
      <c r="H2" s="10" t="n">
        <v>0.0756806082624708</v>
      </c>
      <c r="I2" s="9" t="s">
        <v>352</v>
      </c>
    </row>
    <row r="3" customFormat="false" ht="15" hidden="false" customHeight="true" outlineLevel="0" collapsed="false">
      <c r="A3" s="5" t="n">
        <v>1962</v>
      </c>
      <c r="B3" s="10" t="n">
        <v>0.120840045577777</v>
      </c>
      <c r="C3" s="10"/>
      <c r="D3" s="10" t="n">
        <v>0.0741925055550887</v>
      </c>
      <c r="E3" s="10" t="n">
        <v>0.134782069051118</v>
      </c>
      <c r="F3" s="10" t="n">
        <v>0.0471995416129494</v>
      </c>
      <c r="G3" s="10"/>
      <c r="H3" s="10" t="n">
        <v>0.0899340956471584</v>
      </c>
      <c r="I3" s="9" t="s">
        <v>352</v>
      </c>
    </row>
    <row r="4" customFormat="false" ht="15" hidden="false" customHeight="false" outlineLevel="0" collapsed="false">
      <c r="A4" s="9" t="n">
        <v>1963</v>
      </c>
      <c r="B4" s="10" t="n">
        <v>0.121203091861953</v>
      </c>
      <c r="C4" s="10"/>
      <c r="D4" s="10" t="n">
        <v>0.0555204608545978</v>
      </c>
      <c r="E4" s="10" t="n">
        <v>0.144490625541183</v>
      </c>
      <c r="F4" s="10" t="n">
        <v>0.0637781273510705</v>
      </c>
      <c r="G4" s="10"/>
      <c r="H4" s="10" t="n">
        <v>0.0869607856845418</v>
      </c>
      <c r="I4" s="9" t="s">
        <v>352</v>
      </c>
    </row>
    <row r="5" customFormat="false" ht="15" hidden="false" customHeight="false" outlineLevel="0" collapsed="false">
      <c r="A5" s="9" t="n">
        <v>1964</v>
      </c>
      <c r="B5" s="10" t="n">
        <v>0.109163956978489</v>
      </c>
      <c r="C5" s="10"/>
      <c r="D5" s="10" t="n">
        <v>0.0737467870104627</v>
      </c>
      <c r="E5" s="10" t="n">
        <v>0.176330281805113</v>
      </c>
      <c r="F5" s="10" t="n">
        <v>0.0948018130967308</v>
      </c>
      <c r="G5" s="10"/>
      <c r="H5" s="10" t="n">
        <v>0.10195315463406</v>
      </c>
      <c r="I5" s="9" t="s">
        <v>352</v>
      </c>
    </row>
    <row r="6" customFormat="false" ht="15" hidden="false" customHeight="false" outlineLevel="0" collapsed="false">
      <c r="A6" s="9" t="n">
        <v>1965</v>
      </c>
      <c r="B6" s="10" t="n">
        <v>0.0800270609293734</v>
      </c>
      <c r="C6" s="10"/>
      <c r="D6" s="10" t="n">
        <v>0.0844879514771832</v>
      </c>
      <c r="E6" s="10" t="n">
        <v>0.112547518220256</v>
      </c>
      <c r="F6" s="10" t="n">
        <v>0.0817183462532301</v>
      </c>
      <c r="G6" s="10"/>
      <c r="H6" s="10" t="n">
        <v>0.0911591499999218</v>
      </c>
      <c r="I6" s="9" t="s">
        <v>352</v>
      </c>
    </row>
    <row r="7" customFormat="false" ht="15" hidden="false" customHeight="false" outlineLevel="0" collapsed="false">
      <c r="A7" s="9" t="n">
        <v>1966</v>
      </c>
      <c r="B7" s="10" t="n">
        <v>0.0837411423873473</v>
      </c>
      <c r="C7" s="10"/>
      <c r="D7" s="10" t="n">
        <v>0.0958162928854314</v>
      </c>
      <c r="E7" s="10" t="n">
        <v>0.161379050145897</v>
      </c>
      <c r="F7" s="10" t="n">
        <v>0.0697087325931758</v>
      </c>
      <c r="G7" s="10"/>
      <c r="H7" s="10" t="n">
        <v>0.0995011542451241</v>
      </c>
      <c r="I7" s="9" t="s">
        <v>352</v>
      </c>
    </row>
    <row r="8" customFormat="false" ht="15" hidden="false" customHeight="false" outlineLevel="0" collapsed="false">
      <c r="A8" s="9" t="n">
        <v>1967</v>
      </c>
      <c r="B8" s="10" t="n">
        <v>0.0813163788743587</v>
      </c>
      <c r="C8" s="10"/>
      <c r="D8" s="10" t="n">
        <v>0.0572187278614358</v>
      </c>
      <c r="E8" s="10" t="n">
        <v>0.171875818705787</v>
      </c>
      <c r="F8" s="10" t="n">
        <v>0.0578577410104804</v>
      </c>
      <c r="G8" s="10"/>
      <c r="H8" s="10" t="n">
        <v>0.0770956768095683</v>
      </c>
      <c r="I8" s="9" t="s">
        <v>352</v>
      </c>
    </row>
    <row r="9" customFormat="false" ht="15" hidden="false" customHeight="false" outlineLevel="0" collapsed="false">
      <c r="A9" s="9" t="n">
        <v>1968</v>
      </c>
      <c r="B9" s="10" t="n">
        <v>0.0909475606632593</v>
      </c>
      <c r="C9" s="10"/>
      <c r="D9" s="10" t="n">
        <v>0.0938306454543472</v>
      </c>
      <c r="E9" s="10" t="n">
        <v>0.184314952884498</v>
      </c>
      <c r="F9" s="10" t="n">
        <v>0.0989277232710437</v>
      </c>
      <c r="G9" s="10"/>
      <c r="H9" s="10" t="n">
        <v>0.103001201788184</v>
      </c>
      <c r="I9" s="9" t="s">
        <v>352</v>
      </c>
    </row>
    <row r="10" customFormat="false" ht="15" hidden="false" customHeight="false" outlineLevel="0" collapsed="false">
      <c r="A10" s="9" t="n">
        <v>1969</v>
      </c>
      <c r="B10" s="10" t="n">
        <v>0.15047057142274</v>
      </c>
      <c r="C10" s="10"/>
      <c r="D10" s="10" t="n">
        <v>0.0818251064560385</v>
      </c>
      <c r="E10" s="10" t="n">
        <v>0.174684285040114</v>
      </c>
      <c r="F10" s="10" t="n">
        <v>0.0865512649800266</v>
      </c>
      <c r="G10" s="10"/>
      <c r="H10" s="10" t="n">
        <v>0.109753245536544</v>
      </c>
      <c r="I10" s="9" t="s">
        <v>352</v>
      </c>
    </row>
    <row r="11" customFormat="false" ht="15" hidden="false" customHeight="false" outlineLevel="0" collapsed="false">
      <c r="A11" s="9" t="n">
        <v>1970</v>
      </c>
      <c r="B11" s="10" t="n">
        <v>0.118981074822321</v>
      </c>
      <c r="C11" s="10"/>
      <c r="D11" s="10" t="n">
        <v>0.0547314062784059</v>
      </c>
      <c r="E11" s="10" t="n">
        <v>0.178632436054631</v>
      </c>
      <c r="F11" s="10" t="n">
        <v>0.126165220186435</v>
      </c>
      <c r="G11" s="10"/>
      <c r="H11" s="10" t="n">
        <v>0.106587754996629</v>
      </c>
      <c r="I11" s="9" t="s">
        <v>352</v>
      </c>
    </row>
    <row r="12" customFormat="false" ht="15" hidden="false" customHeight="false" outlineLevel="0" collapsed="false">
      <c r="A12" s="9" t="n">
        <v>1971</v>
      </c>
      <c r="B12" s="10" t="n">
        <v>0.115606936416189</v>
      </c>
      <c r="C12" s="10"/>
      <c r="D12" s="10" t="n">
        <v>0.0852868298595793</v>
      </c>
      <c r="E12" s="10" t="n">
        <v>0.100298588860863</v>
      </c>
      <c r="F12" s="10" t="n">
        <v>0.121842443271015</v>
      </c>
      <c r="G12" s="10"/>
      <c r="H12" s="10" t="n">
        <v>0.103628309305963</v>
      </c>
      <c r="I12" s="9" t="s">
        <v>352</v>
      </c>
    </row>
    <row r="13" customFormat="false" ht="15" hidden="false" customHeight="false" outlineLevel="0" collapsed="false">
      <c r="A13" s="9" t="n">
        <v>1972</v>
      </c>
      <c r="B13" s="10" t="n">
        <v>0.116555434728531</v>
      </c>
      <c r="C13" s="10"/>
      <c r="D13" s="10" t="n">
        <v>0.0980918354491642</v>
      </c>
      <c r="E13" s="10" t="n">
        <v>0.144890918868815</v>
      </c>
      <c r="F13" s="10" t="n">
        <v>0.12258690328531</v>
      </c>
      <c r="G13" s="10"/>
      <c r="H13" s="10" t="n">
        <v>0.116799165171727</v>
      </c>
      <c r="I13" s="9" t="s">
        <v>352</v>
      </c>
    </row>
    <row r="14" customFormat="false" ht="15" hidden="false" customHeight="false" outlineLevel="0" collapsed="false">
      <c r="A14" s="9" t="n">
        <v>1973</v>
      </c>
      <c r="B14" s="10" t="n">
        <v>0.146693741406528</v>
      </c>
      <c r="C14" s="10"/>
      <c r="D14" s="10" t="n">
        <v>0.114348078979792</v>
      </c>
      <c r="E14" s="10" t="n">
        <v>0.21758809796708</v>
      </c>
      <c r="F14" s="10" t="n">
        <v>0.158849776896381</v>
      </c>
      <c r="G14" s="10"/>
      <c r="H14" s="10" t="n">
        <v>0.156140466728589</v>
      </c>
      <c r="I14" s="9" t="s">
        <v>352</v>
      </c>
    </row>
    <row r="15" customFormat="false" ht="15" hidden="false" customHeight="false" outlineLevel="0" collapsed="false">
      <c r="A15" s="9" t="n">
        <v>1974</v>
      </c>
      <c r="B15" s="10" t="n">
        <v>0.166197589665871</v>
      </c>
      <c r="C15" s="10"/>
      <c r="D15" s="10" t="n">
        <v>0.0840946529196507</v>
      </c>
      <c r="E15" s="10" t="n">
        <v>0.193297314979267</v>
      </c>
      <c r="F15" s="10" t="n">
        <v>0.13295603173245</v>
      </c>
      <c r="G15" s="10"/>
      <c r="H15" s="10" t="n">
        <v>0.148755367034685</v>
      </c>
      <c r="I15" s="9" t="s">
        <v>352</v>
      </c>
    </row>
    <row r="16" customFormat="false" ht="15" hidden="false" customHeight="false" outlineLevel="0" collapsed="false">
      <c r="A16" s="9" t="n">
        <v>1975</v>
      </c>
      <c r="B16" s="10" t="n">
        <v>0.126428027418128</v>
      </c>
      <c r="C16" s="10"/>
      <c r="D16" s="10" t="n">
        <v>0.0903822539180743</v>
      </c>
      <c r="E16" s="10" t="n">
        <v>0.104909128019321</v>
      </c>
      <c r="F16" s="10" t="n">
        <v>0.241773299095872</v>
      </c>
      <c r="G16" s="10"/>
      <c r="H16" s="10" t="n">
        <v>0.12214201244916</v>
      </c>
      <c r="I16" s="9" t="s">
        <v>352</v>
      </c>
    </row>
    <row r="17" customFormat="false" ht="15" hidden="false" customHeight="false" outlineLevel="0" collapsed="false">
      <c r="A17" s="9" t="n">
        <v>1976</v>
      </c>
      <c r="B17" s="10" t="n">
        <v>0.15537947937796</v>
      </c>
      <c r="C17" s="10"/>
      <c r="D17" s="10" t="n">
        <v>0.111880195025832</v>
      </c>
      <c r="E17" s="10" t="n">
        <v>0.123012502089977</v>
      </c>
      <c r="F17" s="10" t="n">
        <v>0.190277596767887</v>
      </c>
      <c r="G17" s="10"/>
      <c r="H17" s="10" t="n">
        <v>0.147082877306447</v>
      </c>
      <c r="I17" s="9" t="s">
        <v>352</v>
      </c>
    </row>
    <row r="18" customFormat="false" ht="15" hidden="false" customHeight="false" outlineLevel="0" collapsed="false">
      <c r="A18" s="9" t="n">
        <v>1977</v>
      </c>
      <c r="B18" s="10" t="n">
        <v>0.12539455540966</v>
      </c>
      <c r="C18" s="10"/>
      <c r="D18" s="10" t="n">
        <v>0.111247522902724</v>
      </c>
      <c r="E18" s="10" t="n">
        <v>0.114355662041872</v>
      </c>
      <c r="F18" s="10" t="n">
        <v>0.166283441001496</v>
      </c>
      <c r="G18" s="10"/>
      <c r="H18" s="10" t="n">
        <v>0.138853039180245</v>
      </c>
      <c r="I18" s="9" t="s">
        <v>352</v>
      </c>
    </row>
    <row r="19" customFormat="false" ht="15" hidden="false" customHeight="false" outlineLevel="0" collapsed="false">
      <c r="A19" s="9" t="n">
        <v>1978</v>
      </c>
      <c r="B19" s="10" t="n">
        <v>0.136294943336377</v>
      </c>
      <c r="C19" s="10"/>
      <c r="D19" s="10" t="n">
        <v>0.129585219699062</v>
      </c>
      <c r="E19" s="10" t="n">
        <v>0.101185797580994</v>
      </c>
      <c r="F19" s="10" t="n">
        <v>0.165019558754499</v>
      </c>
      <c r="G19" s="10"/>
      <c r="H19" s="10" t="n">
        <v>0.142156854776916</v>
      </c>
      <c r="I19" s="9" t="s">
        <v>352</v>
      </c>
    </row>
    <row r="20" customFormat="false" ht="15" hidden="false" customHeight="false" outlineLevel="0" collapsed="false">
      <c r="A20" s="9" t="n">
        <v>1979</v>
      </c>
      <c r="B20" s="10" t="n">
        <v>0.142424849126218</v>
      </c>
      <c r="C20" s="10"/>
      <c r="D20" s="10" t="n">
        <v>0.117251082906895</v>
      </c>
      <c r="E20" s="10" t="n">
        <v>0.0838652043353363</v>
      </c>
      <c r="F20" s="10" t="n">
        <v>0.187089356992817</v>
      </c>
      <c r="G20" s="10"/>
      <c r="H20" s="10" t="n">
        <v>0.150641901861389</v>
      </c>
      <c r="I20" s="9" t="s">
        <v>352</v>
      </c>
    </row>
    <row r="21" customFormat="false" ht="15" hidden="false" customHeight="false" outlineLevel="0" collapsed="false">
      <c r="A21" s="9" t="n">
        <v>1980</v>
      </c>
      <c r="B21" s="10" t="n">
        <v>0.134487990266033</v>
      </c>
      <c r="C21" s="10"/>
      <c r="D21" s="10" t="n">
        <v>0.0875347132850364</v>
      </c>
      <c r="E21" s="10" t="n">
        <v>0.0840875012299882</v>
      </c>
      <c r="F21" s="10" t="n">
        <v>0.176452485902809</v>
      </c>
      <c r="G21" s="10"/>
      <c r="H21" s="10" t="n">
        <v>0.14322615148644</v>
      </c>
      <c r="I21" s="9" t="s">
        <v>352</v>
      </c>
    </row>
    <row r="22" customFormat="false" ht="15" hidden="false" customHeight="false" outlineLevel="0" collapsed="false">
      <c r="A22" s="9" t="n">
        <v>1981</v>
      </c>
      <c r="B22" s="10" t="n">
        <v>0.127916071766678</v>
      </c>
      <c r="C22" s="10"/>
      <c r="D22" s="10" t="n">
        <v>0.122399366396733</v>
      </c>
      <c r="E22" s="10" t="n">
        <v>0.0750687905464791</v>
      </c>
      <c r="F22" s="10" t="n">
        <v>0.117689147394174</v>
      </c>
      <c r="G22" s="10"/>
      <c r="H22" s="10" t="n">
        <v>0.135768400381605</v>
      </c>
      <c r="I22" s="9" t="s">
        <v>352</v>
      </c>
    </row>
    <row r="23" customFormat="false" ht="15" hidden="false" customHeight="false" outlineLevel="0" collapsed="false">
      <c r="A23" s="9" t="n">
        <v>1982</v>
      </c>
      <c r="B23" s="10" t="n">
        <v>0.147369049001658</v>
      </c>
      <c r="C23" s="10"/>
      <c r="D23" s="10" t="n">
        <v>0.0426399255076622</v>
      </c>
      <c r="E23" s="10" t="n">
        <v>0.0498655140687365</v>
      </c>
      <c r="F23" s="10" t="n">
        <v>0.101404233350542</v>
      </c>
      <c r="G23" s="10"/>
      <c r="H23" s="10" t="n">
        <v>0.110623562180106</v>
      </c>
      <c r="I23" s="9" t="s">
        <v>352</v>
      </c>
    </row>
    <row r="24" customFormat="false" ht="15" hidden="false" customHeight="false" outlineLevel="0" collapsed="false">
      <c r="A24" s="9" t="n">
        <v>1983</v>
      </c>
      <c r="B24" s="10" t="n">
        <v>0.109886770994678</v>
      </c>
      <c r="C24" s="10"/>
      <c r="D24" s="10" t="n">
        <v>0.0868018969796018</v>
      </c>
      <c r="E24" s="10" t="n">
        <v>0.0400304283501731</v>
      </c>
      <c r="F24" s="10" t="n">
        <v>0.0996428270101528</v>
      </c>
      <c r="G24" s="10"/>
      <c r="H24" s="10" t="n">
        <v>0.129242869604514</v>
      </c>
      <c r="I24" s="9" t="s">
        <v>352</v>
      </c>
    </row>
    <row r="25" customFormat="false" ht="15" hidden="false" customHeight="false" outlineLevel="0" collapsed="false">
      <c r="A25" s="9" t="n">
        <v>1984</v>
      </c>
      <c r="B25" s="10" t="n">
        <v>0.0886473717909011</v>
      </c>
      <c r="C25" s="10"/>
      <c r="D25" s="10" t="n">
        <v>0.111054883460857</v>
      </c>
      <c r="E25" s="10" t="n">
        <v>0.062852405981515</v>
      </c>
      <c r="F25" s="10" t="n">
        <v>0.0758965615231599</v>
      </c>
      <c r="G25" s="10"/>
      <c r="H25" s="10" t="n">
        <v>0.134621250526273</v>
      </c>
      <c r="I25" s="9" t="s">
        <v>352</v>
      </c>
    </row>
    <row r="26" customFormat="false" ht="15" hidden="false" customHeight="false" outlineLevel="0" collapsed="false">
      <c r="A26" s="9" t="n">
        <v>1985</v>
      </c>
      <c r="B26" s="10" t="n">
        <v>0.0723977437016772</v>
      </c>
      <c r="C26" s="10"/>
      <c r="D26" s="10" t="n">
        <v>0.0746397501098421</v>
      </c>
      <c r="E26" s="10" t="n">
        <v>0.0740226335580927</v>
      </c>
      <c r="F26" s="10" t="n">
        <v>0.0973222964121201</v>
      </c>
      <c r="G26" s="10"/>
      <c r="H26" s="10" t="n">
        <v>0.119324990506789</v>
      </c>
      <c r="I26" s="9" t="s">
        <v>352</v>
      </c>
    </row>
    <row r="27" customFormat="false" ht="15" hidden="false" customHeight="false" outlineLevel="0" collapsed="false">
      <c r="A27" s="9" t="n">
        <v>1986</v>
      </c>
      <c r="B27" s="10" t="n">
        <v>0.0770218274702426</v>
      </c>
      <c r="C27" s="10"/>
      <c r="D27" s="10" t="n">
        <v>0.0554627982310592</v>
      </c>
      <c r="E27" s="10" t="n">
        <v>0.046581166243957</v>
      </c>
      <c r="F27" s="10" t="n">
        <v>0.0772791277033613</v>
      </c>
      <c r="G27" s="10"/>
      <c r="H27" s="10" t="n">
        <v>0.105134356848522</v>
      </c>
      <c r="I27" s="9" t="s">
        <v>352</v>
      </c>
    </row>
    <row r="28" customFormat="false" ht="15" hidden="false" customHeight="false" outlineLevel="0" collapsed="false">
      <c r="A28" s="9" t="n">
        <v>1987</v>
      </c>
      <c r="B28" s="10" t="n">
        <v>0.0509951985297539</v>
      </c>
      <c r="C28" s="10"/>
      <c r="D28" s="10" t="n">
        <v>0.060175952983127</v>
      </c>
      <c r="E28" s="10" t="n">
        <v>0.0399657034967473</v>
      </c>
      <c r="F28" s="10" t="n">
        <v>0.112786860338591</v>
      </c>
      <c r="G28" s="10"/>
      <c r="H28" s="10" t="n">
        <v>0.134505064368968</v>
      </c>
      <c r="I28" s="9" t="s">
        <v>352</v>
      </c>
    </row>
    <row r="29" customFormat="false" ht="15" hidden="false" customHeight="false" outlineLevel="0" collapsed="false">
      <c r="A29" s="9" t="n">
        <v>1988</v>
      </c>
      <c r="B29" s="10" t="n">
        <v>0.0800739165949846</v>
      </c>
      <c r="C29" s="10"/>
      <c r="D29" s="10" t="n">
        <v>0.0785179753836918</v>
      </c>
      <c r="E29" s="10" t="n">
        <v>0.0750277691347261</v>
      </c>
      <c r="F29" s="10" t="n">
        <v>0.118940245763393</v>
      </c>
      <c r="G29" s="10"/>
      <c r="H29" s="10" t="n">
        <v>0.142539729691358</v>
      </c>
      <c r="I29" s="9" t="s">
        <v>352</v>
      </c>
    </row>
    <row r="30" customFormat="false" ht="15" hidden="false" customHeight="false" outlineLevel="0" collapsed="false">
      <c r="A30" s="9" t="n">
        <v>1989</v>
      </c>
      <c r="B30" s="10" t="n">
        <v>0.0790404438282586</v>
      </c>
      <c r="C30" s="10"/>
      <c r="D30" s="10" t="n">
        <v>0.0773696738126184</v>
      </c>
      <c r="E30" s="10" t="n">
        <v>0.0771633764315438</v>
      </c>
      <c r="F30" s="10" t="n">
        <v>0.106442577030812</v>
      </c>
      <c r="G30" s="10"/>
      <c r="H30" s="10" t="n">
        <v>0.112963604783694</v>
      </c>
      <c r="I30" s="9" t="s">
        <v>352</v>
      </c>
    </row>
    <row r="31" customFormat="false" ht="15" hidden="false" customHeight="false" outlineLevel="0" collapsed="false">
      <c r="A31" s="9" t="n">
        <v>1990</v>
      </c>
      <c r="B31" s="10" t="n">
        <v>0.0554798684398268</v>
      </c>
      <c r="C31" s="10"/>
      <c r="D31" s="10" t="n">
        <v>0.0569991081398391</v>
      </c>
      <c r="E31" s="10" t="n">
        <v>0.0796318755726952</v>
      </c>
      <c r="F31" s="10" t="n">
        <v>0.0914408971853487</v>
      </c>
      <c r="G31" s="10"/>
      <c r="H31" s="10" t="n">
        <v>0.104769095319677</v>
      </c>
      <c r="I31" s="9" t="s">
        <v>352</v>
      </c>
    </row>
    <row r="32" customFormat="false" ht="15" hidden="false" customHeight="false" outlineLevel="0" collapsed="false">
      <c r="A32" s="9" t="n">
        <v>1991</v>
      </c>
      <c r="B32" s="10" t="n">
        <v>0.0376062957388454</v>
      </c>
      <c r="C32" s="10"/>
      <c r="D32" s="10" t="n">
        <v>0.0326983104300089</v>
      </c>
      <c r="E32" s="10" t="n">
        <v>0.0601672158471105</v>
      </c>
      <c r="F32" s="10" t="n">
        <v>0.0521488847315732</v>
      </c>
      <c r="G32" s="10"/>
      <c r="H32" s="10" t="n">
        <v>0.0871711296898552</v>
      </c>
      <c r="I32" s="9" t="s">
        <v>352</v>
      </c>
    </row>
    <row r="33" customFormat="false" ht="15" hidden="false" customHeight="false" outlineLevel="0" collapsed="false">
      <c r="A33" s="9" t="n">
        <v>1992</v>
      </c>
      <c r="B33" s="10" t="n">
        <v>0.0346459513304875</v>
      </c>
      <c r="C33" s="10" t="n">
        <v>0.0698141907865033</v>
      </c>
      <c r="D33" s="10" t="n">
        <v>0.0588162387140543</v>
      </c>
      <c r="E33" s="10" t="n">
        <v>0.0242018959916446</v>
      </c>
      <c r="F33" s="10" t="n">
        <v>0.0355175744839509</v>
      </c>
      <c r="G33" s="10" t="n">
        <v>0.0591761328719458</v>
      </c>
      <c r="H33" s="10" t="n">
        <v>0.0816803196937241</v>
      </c>
      <c r="I33" s="9" t="s">
        <v>352</v>
      </c>
    </row>
    <row r="34" customFormat="false" ht="15" hidden="false" customHeight="false" outlineLevel="0" collapsed="false">
      <c r="A34" s="9" t="n">
        <v>1993</v>
      </c>
      <c r="B34" s="10" t="n">
        <v>0.0115410967974781</v>
      </c>
      <c r="C34" s="10" t="n">
        <v>0.0276198593250976</v>
      </c>
      <c r="D34" s="10" t="n">
        <v>0.0518733549761632</v>
      </c>
      <c r="E34" s="10" t="n">
        <v>0.00609214805521541</v>
      </c>
      <c r="F34" s="10" t="n">
        <v>0.0534204557698157</v>
      </c>
      <c r="G34" s="10" t="n">
        <v>0.0293165316844133</v>
      </c>
      <c r="H34" s="10" t="n">
        <v>0.0701224415893424</v>
      </c>
      <c r="I34" s="9" t="s">
        <v>352</v>
      </c>
    </row>
    <row r="35" customFormat="false" ht="15" hidden="false" customHeight="false" outlineLevel="0" collapsed="false">
      <c r="A35" s="9" t="n">
        <v>1994</v>
      </c>
      <c r="B35" s="10" t="n">
        <v>0.0335397121663712</v>
      </c>
      <c r="C35" s="10" t="n">
        <v>0.0465975893182646</v>
      </c>
      <c r="D35" s="10" t="n">
        <v>0.0625026381272391</v>
      </c>
      <c r="E35" s="10" t="n">
        <v>0.00979612240180816</v>
      </c>
      <c r="F35" s="10" t="n">
        <v>0.0532593637929026</v>
      </c>
      <c r="G35" s="10" t="n">
        <v>0.0517238495471935</v>
      </c>
      <c r="H35" s="10" t="n">
        <v>0.0904968426057846</v>
      </c>
      <c r="I35" s="9" t="s">
        <v>352</v>
      </c>
    </row>
    <row r="36" customFormat="false" ht="15" hidden="false" customHeight="false" outlineLevel="0" collapsed="false">
      <c r="A36" s="9" t="n">
        <v>1995</v>
      </c>
      <c r="B36" s="10" t="n">
        <v>0.0363325944828039</v>
      </c>
      <c r="C36" s="10" t="n">
        <v>0.034390251469121</v>
      </c>
      <c r="D36" s="10" t="n">
        <v>0.0483739960957765</v>
      </c>
      <c r="E36" s="10" t="n">
        <v>0.0168461206689989</v>
      </c>
      <c r="F36" s="10" t="n">
        <v>0.0508821465052789</v>
      </c>
      <c r="G36" s="10" t="n">
        <v>0.0527478202600407</v>
      </c>
      <c r="H36" s="10" t="n">
        <v>0.0922451375970483</v>
      </c>
      <c r="I36" s="9" t="s">
        <v>352</v>
      </c>
    </row>
    <row r="37" customFormat="false" ht="15" hidden="false" customHeight="false" outlineLevel="0" collapsed="false">
      <c r="A37" s="9" t="n">
        <v>1996</v>
      </c>
      <c r="B37" s="10" t="n">
        <v>0.0267703001490316</v>
      </c>
      <c r="C37" s="10" t="n">
        <v>0.0153842996797173</v>
      </c>
      <c r="D37" s="10" t="n">
        <v>0.05672601100095</v>
      </c>
      <c r="E37" s="10" t="n">
        <v>0.0297187439204076</v>
      </c>
      <c r="F37" s="10" t="n">
        <v>0.0686472785204715</v>
      </c>
      <c r="G37" s="10" t="n">
        <v>0.0352046224742157</v>
      </c>
      <c r="H37" s="10" t="n">
        <v>0.0876525294941877</v>
      </c>
      <c r="I37" s="9" t="s">
        <v>352</v>
      </c>
    </row>
    <row r="38" customFormat="false" ht="15" hidden="false" customHeight="false" outlineLevel="0" collapsed="false">
      <c r="A38" s="9" t="n">
        <v>1997</v>
      </c>
      <c r="B38" s="10" t="n">
        <v>0.0342124103950088</v>
      </c>
      <c r="C38" s="10" t="n">
        <v>0.0207887355181793</v>
      </c>
      <c r="D38" s="10" t="n">
        <v>0.0624827378578801</v>
      </c>
      <c r="E38" s="10" t="n">
        <v>0.0144335358922529</v>
      </c>
      <c r="F38" s="10" t="n">
        <v>0.0491785873387849</v>
      </c>
      <c r="G38" s="10" t="n">
        <v>0.0418058305131115</v>
      </c>
      <c r="H38" s="10" t="n">
        <v>0.087557469195849</v>
      </c>
      <c r="I38" s="9" t="s">
        <v>352</v>
      </c>
    </row>
    <row r="39" customFormat="false" ht="15" hidden="false" customHeight="false" outlineLevel="0" collapsed="false">
      <c r="A39" s="9" t="n">
        <v>1998</v>
      </c>
      <c r="B39" s="10" t="n">
        <v>0.0440582244473537</v>
      </c>
      <c r="C39" s="10" t="n">
        <v>0.0257977200456478</v>
      </c>
      <c r="D39" s="10" t="n">
        <v>0.0565737429179245</v>
      </c>
      <c r="E39" s="10" t="n">
        <v>-0.0195047245872179</v>
      </c>
      <c r="F39" s="10" t="n">
        <v>0.0461796546619386</v>
      </c>
      <c r="G39" s="10" t="n">
        <v>0.0441338421970055</v>
      </c>
      <c r="H39" s="10" t="n">
        <v>0.071189843115433</v>
      </c>
      <c r="I39" s="9" t="s">
        <v>352</v>
      </c>
    </row>
    <row r="40" customFormat="false" ht="15" hidden="false" customHeight="false" outlineLevel="0" collapsed="false">
      <c r="A40" s="9" t="n">
        <v>1999</v>
      </c>
      <c r="B40" s="10" t="n">
        <v>0.0349707598865883</v>
      </c>
      <c r="C40" s="10" t="n">
        <v>0.0258115824261314</v>
      </c>
      <c r="D40" s="10" t="n">
        <v>0.0627128425607855</v>
      </c>
      <c r="E40" s="10" t="n">
        <v>-0.0169280887075949</v>
      </c>
      <c r="F40" s="10" t="n">
        <v>0.0438001842832698</v>
      </c>
      <c r="G40" s="10" t="n">
        <v>0.040762294910849</v>
      </c>
      <c r="H40" s="10" t="n">
        <v>0.0617861142950631</v>
      </c>
      <c r="I40" s="9" t="s">
        <v>352</v>
      </c>
    </row>
    <row r="41" customFormat="false" ht="15" hidden="false" customHeight="false" outlineLevel="0" collapsed="false">
      <c r="A41" s="9" t="n">
        <v>2000</v>
      </c>
      <c r="B41" s="10" t="n">
        <v>0.0584187179428872</v>
      </c>
      <c r="C41" s="10" t="n">
        <v>0.0275202270895134</v>
      </c>
      <c r="D41" s="10" t="n">
        <v>0.0643514897343618</v>
      </c>
      <c r="E41" s="10" t="n">
        <v>0.0173893995023469</v>
      </c>
      <c r="F41" s="10" t="n">
        <v>0.0554413901619046</v>
      </c>
      <c r="G41" s="10" t="n">
        <v>0.0538992732470616</v>
      </c>
      <c r="H41" s="10" t="n">
        <v>0.0754349282531142</v>
      </c>
      <c r="I41" s="9" t="s">
        <v>352</v>
      </c>
    </row>
    <row r="42" customFormat="false" ht="15" hidden="false" customHeight="false" outlineLevel="0" collapsed="false">
      <c r="A42" s="9" t="n">
        <v>2001</v>
      </c>
      <c r="B42" s="10" t="n">
        <v>0.0377898571989934</v>
      </c>
      <c r="C42" s="10" t="n">
        <v>0.03219799763743</v>
      </c>
      <c r="D42" s="10" t="n">
        <v>0.0322874402299416</v>
      </c>
      <c r="E42" s="10" t="n">
        <v>-0.00727500520799973</v>
      </c>
      <c r="F42" s="10" t="n">
        <v>0.0414416175835635</v>
      </c>
      <c r="G42" s="10" t="n">
        <v>0.0475222093206342</v>
      </c>
      <c r="H42" s="10" t="n">
        <v>0.0464129356656586</v>
      </c>
      <c r="I42" s="9" t="s">
        <v>352</v>
      </c>
    </row>
    <row r="43" customFormat="false" ht="15" hidden="false" customHeight="false" outlineLevel="0" collapsed="false">
      <c r="A43" s="9" t="n">
        <v>2002</v>
      </c>
      <c r="B43" s="10" t="n">
        <v>0.032121547556657</v>
      </c>
      <c r="C43" s="10" t="n">
        <v>0.0130013618611558</v>
      </c>
      <c r="D43" s="10" t="n">
        <v>0.0328086920636115</v>
      </c>
      <c r="E43" s="10" t="n">
        <v>-0.0130705529569837</v>
      </c>
      <c r="F43" s="10" t="n">
        <v>0.0383332377262196</v>
      </c>
      <c r="G43" s="10" t="n">
        <v>0.0343491744336291</v>
      </c>
      <c r="H43" s="10" t="n">
        <v>0.0421636737088775</v>
      </c>
      <c r="I43" s="9" t="s">
        <v>352</v>
      </c>
    </row>
    <row r="44" customFormat="false" ht="15" hidden="false" customHeight="false" outlineLevel="0" collapsed="false">
      <c r="A44" s="9" t="n">
        <v>2003</v>
      </c>
      <c r="B44" s="10" t="n">
        <v>0.0280744200961416</v>
      </c>
      <c r="C44" s="10" t="n">
        <v>0.00772638181985541</v>
      </c>
      <c r="D44" s="10" t="n">
        <v>0.0482510775753364</v>
      </c>
      <c r="E44" s="10" t="n">
        <v>-0.00409285810348337</v>
      </c>
      <c r="F44" s="10" t="n">
        <v>0.0568000897336951</v>
      </c>
      <c r="G44" s="10" t="n">
        <v>0.0296752481524492</v>
      </c>
      <c r="H44" s="10" t="n">
        <v>0.044666246339693</v>
      </c>
      <c r="I44" s="9" t="s">
        <v>352</v>
      </c>
    </row>
    <row r="45" customFormat="false" ht="15" hidden="false" customHeight="false" outlineLevel="0" collapsed="false">
      <c r="A45" s="9" t="n">
        <v>2004</v>
      </c>
      <c r="B45" s="10" t="n">
        <v>0.0419375549833994</v>
      </c>
      <c r="C45" s="10" t="n">
        <v>0.0185848113313478</v>
      </c>
      <c r="D45" s="10" t="n">
        <v>0.066403317188279</v>
      </c>
      <c r="E45" s="10" t="n">
        <v>0.0083406291598942</v>
      </c>
      <c r="F45" s="10" t="n">
        <v>0.0512007109691708</v>
      </c>
      <c r="G45" s="10" t="n">
        <v>0.0404166873076319</v>
      </c>
      <c r="H45" s="10" t="n">
        <v>0.0597114681438218</v>
      </c>
      <c r="I45" s="9" t="s">
        <v>352</v>
      </c>
    </row>
    <row r="46" customFormat="false" ht="15" hidden="false" customHeight="false" outlineLevel="0" collapsed="false">
      <c r="A46" s="9" t="n">
        <v>2005</v>
      </c>
      <c r="B46" s="10" t="n">
        <v>0.0399192155275077</v>
      </c>
      <c r="C46" s="10" t="n">
        <v>0.0159784003314143</v>
      </c>
      <c r="D46" s="10" t="n">
        <v>0.0672823180393094</v>
      </c>
      <c r="E46" s="10" t="n">
        <v>0.00514594935115431</v>
      </c>
      <c r="F46" s="10" t="n">
        <v>0.0573457419434078</v>
      </c>
      <c r="G46" s="10" t="n">
        <v>0.0376082225608538</v>
      </c>
      <c r="H46" s="10" t="n">
        <v>0.0550272053377592</v>
      </c>
      <c r="I46" s="9" t="s">
        <v>352</v>
      </c>
    </row>
    <row r="47" customFormat="false" ht="15" hidden="false" customHeight="false" outlineLevel="0" collapsed="false">
      <c r="A47" s="9" t="n">
        <v>2006</v>
      </c>
      <c r="B47" s="10" t="n">
        <v>0.0497869874775798</v>
      </c>
      <c r="C47" s="10" t="n">
        <v>0.0449866888383013</v>
      </c>
      <c r="D47" s="10" t="n">
        <v>0.0595424702916905</v>
      </c>
      <c r="E47" s="10" t="n">
        <v>0.00591884444922486</v>
      </c>
      <c r="F47" s="10" t="n">
        <v>0.0533269576532747</v>
      </c>
      <c r="G47" s="10" t="n">
        <v>0.0547502202145469</v>
      </c>
      <c r="H47" s="10" t="n">
        <v>0.0591651247510452</v>
      </c>
      <c r="I47" s="9" t="s">
        <v>352</v>
      </c>
    </row>
    <row r="48" customFormat="false" ht="15" hidden="false" customHeight="false" outlineLevel="0" collapsed="false">
      <c r="A48" s="9" t="n">
        <v>2007</v>
      </c>
      <c r="B48" s="10" t="n">
        <v>0.0492992626591171</v>
      </c>
      <c r="C48" s="10" t="n">
        <v>0.0488617896898518</v>
      </c>
      <c r="D48" s="10" t="n">
        <v>0.0476739924764666</v>
      </c>
      <c r="E48" s="10" t="n">
        <v>0.00740890104076097</v>
      </c>
      <c r="F48" s="10" t="n">
        <v>0.0498274788915349</v>
      </c>
      <c r="G48" s="10" t="n">
        <v>0.0549391105946775</v>
      </c>
      <c r="H48" s="10" t="n">
        <v>0.0540834894632594</v>
      </c>
      <c r="I48" s="9" t="s">
        <v>352</v>
      </c>
    </row>
    <row r="49" customFormat="false" ht="15" hidden="false" customHeight="false" outlineLevel="0" collapsed="false">
      <c r="A49" s="9" t="n">
        <v>2008</v>
      </c>
      <c r="B49" s="10" t="n">
        <v>0.0256892218299034</v>
      </c>
      <c r="C49" s="10" t="n">
        <v>0.0158786653121481</v>
      </c>
      <c r="D49" s="10" t="n">
        <v>0.0204249076651899</v>
      </c>
      <c r="E49" s="10" t="n">
        <v>-0.0205951106467293</v>
      </c>
      <c r="F49" s="10" t="n">
        <v>0.032536609163069</v>
      </c>
      <c r="G49" s="10" t="n">
        <v>0.0233612863311716</v>
      </c>
      <c r="H49" s="10" t="n">
        <v>0.0295631446920002</v>
      </c>
      <c r="I49" s="9" t="s">
        <v>352</v>
      </c>
    </row>
    <row r="50" customFormat="false" ht="15" hidden="false" customHeight="false" outlineLevel="0" collapsed="false">
      <c r="A50" s="9" t="n">
        <v>2009</v>
      </c>
      <c r="B50" s="10" t="n">
        <v>-0.0262292553451414</v>
      </c>
      <c r="C50" s="10" t="n">
        <v>-0.0363317651298891</v>
      </c>
      <c r="D50" s="10" t="n">
        <v>-0.0197560752388221</v>
      </c>
      <c r="E50" s="10" t="n">
        <v>-0.0637357259838888</v>
      </c>
      <c r="F50" s="10" t="n">
        <v>-0.0267204754412168</v>
      </c>
      <c r="G50" s="10" t="n">
        <v>-0.0346815002051297</v>
      </c>
      <c r="H50" s="10" t="n">
        <v>-0.0233894684224828</v>
      </c>
      <c r="I50" s="9" t="s">
        <v>352</v>
      </c>
    </row>
    <row r="51" customFormat="false" ht="15" hidden="false" customHeight="false" outlineLevel="0" collapsed="false">
      <c r="A51" s="9" t="n">
        <v>2010</v>
      </c>
      <c r="B51" s="10" t="n">
        <v>0.0294091954647269</v>
      </c>
      <c r="C51" s="10" t="n">
        <v>0.0472676594619388</v>
      </c>
      <c r="D51" s="10" t="n">
        <v>0.0394323178737825</v>
      </c>
      <c r="E51" s="10" t="n">
        <v>0.0215831530531878</v>
      </c>
      <c r="F51" s="10" t="n">
        <v>0.0361894440507757</v>
      </c>
      <c r="G51" s="10" t="n">
        <v>0.02733904712049</v>
      </c>
      <c r="H51" s="10" t="n">
        <v>0.0449118359416749</v>
      </c>
      <c r="I51" s="9" t="s">
        <v>352</v>
      </c>
    </row>
    <row r="52" customFormat="false" ht="15" hidden="false" customHeight="false" outlineLevel="0" collapsed="false">
      <c r="A52" s="9" t="n">
        <v>2011</v>
      </c>
      <c r="B52" s="10" t="n">
        <v>0.0336413602709496</v>
      </c>
      <c r="C52" s="10" t="n">
        <v>0.0510898673583127</v>
      </c>
      <c r="D52" s="10" t="n">
        <v>0.0365978843337529</v>
      </c>
      <c r="E52" s="10" t="n">
        <v>-0.0176373325335522</v>
      </c>
      <c r="F52" s="10" t="n">
        <v>0.0334847716882685</v>
      </c>
      <c r="G52" s="10" t="n">
        <v>0.0290807378018307</v>
      </c>
      <c r="H52" s="10" t="n">
        <v>0.0403597884191866</v>
      </c>
      <c r="I52" s="9" t="s">
        <v>352</v>
      </c>
    </row>
    <row r="53" customFormat="false" ht="15" hidden="false" customHeight="false" outlineLevel="0" collapsed="false">
      <c r="A53" s="9" t="n">
        <v>2012</v>
      </c>
      <c r="B53" s="10" t="n">
        <v>0.0131137883012547</v>
      </c>
      <c r="C53" s="10" t="n">
        <v>0.02094564347239</v>
      </c>
      <c r="D53" s="10" t="n">
        <v>0.0419390872208281</v>
      </c>
      <c r="E53" s="10" t="n">
        <v>0.00845069860438952</v>
      </c>
      <c r="F53" s="10" t="n">
        <v>0.030996829236891</v>
      </c>
      <c r="G53" s="10" t="n">
        <v>0.00368217472895016</v>
      </c>
      <c r="H53" s="10" t="n">
        <v>0.0309295813589106</v>
      </c>
      <c r="I53" s="9" t="s">
        <v>352</v>
      </c>
    </row>
    <row r="54" customFormat="false" ht="15" hidden="false" customHeight="false" outlineLevel="0" collapsed="false">
      <c r="A54" s="9" t="n">
        <v>2013</v>
      </c>
      <c r="B54" s="10" t="n">
        <v>0.0168297030278628</v>
      </c>
      <c r="C54" s="10" t="n">
        <v>0.0252181225128143</v>
      </c>
      <c r="D54" s="10" t="n">
        <v>0.0385575493248727</v>
      </c>
      <c r="E54" s="10" t="n">
        <v>0.0181573360085618</v>
      </c>
      <c r="F54" s="10" t="n">
        <v>0.0391262629900075</v>
      </c>
      <c r="G54" s="10" t="n">
        <v>0.0115231058569669</v>
      </c>
      <c r="H54" s="10" t="n">
        <v>0.0323380772548567</v>
      </c>
      <c r="I54" s="9" t="s">
        <v>352</v>
      </c>
    </row>
    <row r="55" customFormat="false" ht="15" hidden="false" customHeight="false" outlineLevel="0" collapsed="false">
      <c r="A55" s="9" t="n">
        <v>2014</v>
      </c>
      <c r="B55" s="10" t="n">
        <v>0.0157188986013386</v>
      </c>
      <c r="C55" s="10" t="n">
        <v>0.041063919970215</v>
      </c>
      <c r="D55" s="10" t="n">
        <v>0.0430939310468965</v>
      </c>
      <c r="E55" s="10" t="n">
        <v>0.0265519626441031</v>
      </c>
      <c r="F55" s="10" t="n">
        <v>0.0480662600499029</v>
      </c>
      <c r="G55" s="10" t="n">
        <v>0.024222577824494</v>
      </c>
      <c r="H55" s="10" t="n">
        <v>0.0408729185648484</v>
      </c>
      <c r="I55" s="9" t="s">
        <v>352</v>
      </c>
    </row>
    <row r="56" customFormat="false" ht="15" hidden="false" customHeight="false" outlineLevel="0" collapsed="false">
      <c r="A56" s="9" t="n">
        <v>2015</v>
      </c>
      <c r="B56" s="10" t="n">
        <v>0.0214486742072859</v>
      </c>
      <c r="C56" s="10" t="n">
        <v>0.0318563731648118</v>
      </c>
      <c r="D56" s="10" t="n">
        <v>0.0390092774288617</v>
      </c>
      <c r="E56" s="10" t="n">
        <v>0.0390955815966867</v>
      </c>
      <c r="F56" s="10" t="n">
        <v>0.0282390059869893</v>
      </c>
      <c r="G56" s="10" t="n">
        <v>0.0344444356602436</v>
      </c>
      <c r="H56" s="10" t="n">
        <v>0.0415269582664342</v>
      </c>
      <c r="I56" s="9" t="s">
        <v>352</v>
      </c>
    </row>
    <row r="57" customFormat="false" ht="15" hidden="false" customHeight="false" outlineLevel="0" collapsed="false">
      <c r="A57" s="9" t="n">
        <v>2016</v>
      </c>
      <c r="B57" s="10" t="n">
        <v>0.0126039397043598</v>
      </c>
      <c r="C57" s="10" t="n">
        <v>0.0342460246184133</v>
      </c>
      <c r="D57" s="10" t="n">
        <v>0.027870659768104</v>
      </c>
      <c r="E57" s="10" t="n">
        <v>0.0129430357030287</v>
      </c>
      <c r="F57" s="10" t="n">
        <v>0.039802055584601</v>
      </c>
      <c r="G57" s="10" t="n">
        <v>0.0264175228538466</v>
      </c>
      <c r="H57" s="10" t="n">
        <v>0.0340420194540039</v>
      </c>
      <c r="I57" s="9" t="s">
        <v>352</v>
      </c>
    </row>
    <row r="58" customFormat="false" ht="15" hidden="false" customHeight="false" outlineLevel="0" collapsed="false">
      <c r="A58" s="9" t="n">
        <v>2017</v>
      </c>
      <c r="B58" s="10" t="n">
        <v>0.0286285869737919</v>
      </c>
      <c r="C58" s="10" t="n">
        <v>0.0461713769813965</v>
      </c>
      <c r="D58" s="10" t="n">
        <v>0.0429243804142516</v>
      </c>
      <c r="E58" s="10" t="n">
        <v>0.0164548269278968</v>
      </c>
      <c r="F58" s="10" t="n">
        <v>0.0461238405690472</v>
      </c>
      <c r="G58" s="10" t="n">
        <v>0.0390905393326564</v>
      </c>
      <c r="H58" s="10" t="n">
        <v>0.0498924791241491</v>
      </c>
      <c r="I58" s="9" t="s">
        <v>352</v>
      </c>
    </row>
    <row r="59" customFormat="false" ht="15" hidden="false" customHeight="false" outlineLevel="0" collapsed="false">
      <c r="A59" s="9" t="n">
        <v>2018</v>
      </c>
      <c r="B59" s="10" t="n">
        <v>0.0272498197241502</v>
      </c>
      <c r="C59" s="10" t="n">
        <v>0.0304245594679005</v>
      </c>
      <c r="D59" s="10" t="n">
        <v>0.0532534948764418</v>
      </c>
      <c r="E59" s="10" t="n">
        <v>0.00713902735530048</v>
      </c>
      <c r="F59" s="10" t="n">
        <v>0.0354454607094528</v>
      </c>
      <c r="G59" s="10" t="n">
        <v>0.0330144568189494</v>
      </c>
      <c r="H59" s="10" t="n">
        <v>0.0494438913328388</v>
      </c>
      <c r="I59" s="9" t="s">
        <v>352</v>
      </c>
    </row>
    <row r="60" customFormat="false" ht="15" hidden="false" customHeight="false" outlineLevel="0" collapsed="false">
      <c r="A60" s="9" t="n">
        <v>2019</v>
      </c>
      <c r="B60" s="10" t="n">
        <v>0.0332977007092936</v>
      </c>
      <c r="C60" s="10" t="n">
        <v>0.0304405075482594</v>
      </c>
      <c r="D60" s="10" t="n">
        <v>0.0427693625287382</v>
      </c>
      <c r="E60" s="10" t="n">
        <v>0.0047168302956655</v>
      </c>
      <c r="F60" s="10" t="n">
        <v>0.0374855115610491</v>
      </c>
      <c r="G60" s="10" t="n">
        <v>0.0334994604886705</v>
      </c>
      <c r="H60" s="10" t="n">
        <v>0.0408595025864702</v>
      </c>
      <c r="I60" s="9" t="s">
        <v>352</v>
      </c>
    </row>
    <row r="61" customFormat="false" ht="15" hidden="false" customHeight="false" outlineLevel="0" collapsed="false">
      <c r="A61" s="9" t="n">
        <v>2020</v>
      </c>
      <c r="B61" s="10" t="n">
        <v>-0.048523106610792</v>
      </c>
      <c r="C61" s="10" t="n">
        <v>-0.0281231612381596</v>
      </c>
      <c r="D61" s="10" t="n">
        <v>-0.00764624612142772</v>
      </c>
      <c r="E61" s="10" t="n">
        <v>-0.0310642174881697</v>
      </c>
      <c r="F61" s="10" t="n">
        <v>-0.0569210918431344</v>
      </c>
      <c r="G61" s="10" t="n">
        <v>-0.0442658076821823</v>
      </c>
      <c r="H61" s="10" t="n">
        <v>-0.0178588285751069</v>
      </c>
      <c r="I61" s="9" t="s">
        <v>352</v>
      </c>
    </row>
    <row r="62" customFormat="false" ht="15" hidden="false" customHeight="false" outlineLevel="0" collapsed="false">
      <c r="A62" s="9" t="n">
        <v>2021</v>
      </c>
      <c r="B62" s="10" t="n">
        <v>0.0809992347326181</v>
      </c>
      <c r="C62" s="10" t="n">
        <v>0.0666014098833538</v>
      </c>
      <c r="D62" s="10" t="n">
        <v>0.10995710161759</v>
      </c>
      <c r="E62" s="10" t="n">
        <v>0.0351839094504112</v>
      </c>
      <c r="F62" s="10" t="n">
        <v>0.0931567453593885</v>
      </c>
      <c r="G62" s="10" t="n">
        <v>0.0853514830153244</v>
      </c>
      <c r="H62" s="10" t="n">
        <v>0.110937324194048</v>
      </c>
      <c r="I62" s="9" t="s">
        <v>352</v>
      </c>
    </row>
    <row r="63" customFormat="false" ht="15" hidden="false" customHeight="false" outlineLevel="0" collapsed="false">
      <c r="A63" s="9" t="n">
        <v>2022</v>
      </c>
      <c r="B63" s="10" t="n">
        <v>0.0590188976260389</v>
      </c>
      <c r="C63" s="10" t="n">
        <v>0.084282756564789</v>
      </c>
      <c r="D63" s="10" t="n">
        <v>0.0981625031023872</v>
      </c>
      <c r="E63" s="10" t="n">
        <v>0.0197566534302422</v>
      </c>
      <c r="F63" s="10" t="n">
        <v>0.111207791782841</v>
      </c>
      <c r="G63" s="10" t="n">
        <v>0.090340362236738</v>
      </c>
      <c r="H63" s="10" t="n">
        <v>0.132519329333262</v>
      </c>
      <c r="I63" s="9" t="s">
        <v>352</v>
      </c>
    </row>
    <row r="64" customFormat="false" ht="15" hidden="false" customHeight="false" outlineLevel="0" collapsed="false">
      <c r="A64" s="9" t="n">
        <v>2023</v>
      </c>
      <c r="B64" s="10" t="n">
        <v>0.0669039188567655</v>
      </c>
      <c r="C64" s="10" t="n">
        <v>0.0597569738941273</v>
      </c>
      <c r="D64" s="10" t="n">
        <v>0.0674315395016836</v>
      </c>
      <c r="E64" s="10" t="n">
        <v>0.0532266508189596</v>
      </c>
      <c r="F64" s="10" t="n">
        <v>0.0663380020294861</v>
      </c>
      <c r="G64" s="10" t="n">
        <v>0.066119554870919</v>
      </c>
      <c r="H64" s="10" t="n">
        <v>0.0929752046401957</v>
      </c>
      <c r="I64" s="9" t="s">
        <v>352</v>
      </c>
    </row>
    <row r="65" customFormat="false" ht="15" hidden="false" customHeight="false" outlineLevel="0" collapsed="false">
      <c r="A65" s="9" t="n">
        <v>2024</v>
      </c>
      <c r="B65" s="10" t="n">
        <v>0.0321695926247976</v>
      </c>
      <c r="C65" s="10" t="n">
        <v>0.0262126843349584</v>
      </c>
      <c r="D65" s="10" t="n">
        <v>0.0534489272915246</v>
      </c>
      <c r="E65" s="10" t="n">
        <v>0.0303853901309492</v>
      </c>
      <c r="F65" s="10" t="n">
        <v>0.0503429301451512</v>
      </c>
      <c r="G65" s="10" t="n">
        <v>0.0382349031643383</v>
      </c>
      <c r="H65" s="10" t="n">
        <v>0.0736500856282869</v>
      </c>
      <c r="I65" s="9" t="s">
        <v>352</v>
      </c>
    </row>
    <row r="66" customFormat="false" ht="15" hidden="false" customHeight="false" outlineLevel="0" collapsed="false">
      <c r="A66" s="9" t="n">
        <v>2025</v>
      </c>
      <c r="B66" s="10" t="n">
        <v>0.0215348452208781</v>
      </c>
      <c r="C66" s="10" t="n">
        <v>0.0337258990644891</v>
      </c>
      <c r="D66" s="10" t="n">
        <v>0.0499721947864877</v>
      </c>
      <c r="E66" s="10" t="n">
        <v>0.0451893521131803</v>
      </c>
      <c r="F66" s="10" t="n">
        <v>0.0505698242234796</v>
      </c>
      <c r="G66" s="10" t="n">
        <v>0.0390651958797825</v>
      </c>
      <c r="H66" s="10" t="n">
        <v>0.0632427409430729</v>
      </c>
      <c r="I66" s="9" t="s">
        <v>352</v>
      </c>
    </row>
    <row r="67" customFormat="false" ht="15" hidden="false" customHeight="false" outlineLevel="0" collapsed="false">
      <c r="A67" s="9" t="n">
        <v>2026</v>
      </c>
      <c r="B67" s="10" t="n">
        <v>0.02306508334936</v>
      </c>
      <c r="C67" s="10" t="n">
        <v>0.033339261650019</v>
      </c>
      <c r="D67" s="10" t="n">
        <v>0.0580430253671946</v>
      </c>
      <c r="E67" s="10" t="n">
        <v>0.0288735507781059</v>
      </c>
      <c r="F67" s="10" t="n">
        <v>0.0417819295148407</v>
      </c>
      <c r="G67" s="10" t="n">
        <v>0.0314009518961227</v>
      </c>
      <c r="H67" s="10" t="n">
        <v>0.0598330344174936</v>
      </c>
      <c r="I67" s="11" t="s">
        <v>353</v>
      </c>
    </row>
    <row r="68" customFormat="false" ht="15" hidden="false" customHeight="false" outlineLevel="0" collapsed="false">
      <c r="A68" s="9" t="n">
        <v>2027</v>
      </c>
      <c r="B68" s="10" t="n">
        <v>0.0259785480048802</v>
      </c>
      <c r="C68" s="10" t="n">
        <v>0.0397999396408217</v>
      </c>
      <c r="D68" s="10" t="n">
        <v>0.0392051593576741</v>
      </c>
      <c r="E68" s="10" t="n">
        <v>0.032927276537722</v>
      </c>
      <c r="F68" s="10" t="n">
        <v>0.0322003881424027</v>
      </c>
      <c r="G68" s="10" t="n">
        <v>0.0362644410681496</v>
      </c>
      <c r="H68" s="10" t="n">
        <v>0.0464271156753768</v>
      </c>
      <c r="I68" s="11" t="s">
        <v>353</v>
      </c>
    </row>
    <row r="70" customFormat="false" ht="15" hidden="false" customHeight="false" outlineLevel="0" collapsed="false">
      <c r="A70" s="12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2026-08-04T06:01:37Z</dcterms:created>
  <dc:creator>openpyxl</dc:creator>
  <dc:description/>
  <dc:language>en-US</dc:language>
  <cp:lastModifiedBy/>
  <dcterms:modified xsi:type="dcterms:W3CDTF">2026-08-04T06:50:06Z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